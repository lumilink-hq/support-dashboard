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ummary" sheetId="1" r:id="rId5"/>
    <sheet state="visible" name="Assumptions" sheetId="2" r:id="rId6"/>
    <sheet state="visible" name="Fixed Operating Costs" sheetId="3" r:id="rId7"/>
    <sheet state="visible" name="Per-Customer Costs" sheetId="4" r:id="rId8"/>
    <sheet state="visible" name="Pricing &amp; Add-ons" sheetId="5" r:id="rId9"/>
    <sheet state="visible" name="Onboarding Economics" sheetId="6" r:id="rId10"/>
    <sheet state="visible" name="Profitability Forecast" sheetId="7" r:id="rId11"/>
    <sheet state="visible" name="Margins &amp; Unit Economics" sheetId="8" r:id="rId12"/>
    <sheet state="visible" name="KPIs" sheetId="9" r:id="rId13"/>
    <sheet state="visible" name="Scenario Analysis" sheetId="10" r:id="rId14"/>
    <sheet state="visible" name="Sources &amp; Audit" sheetId="11" r:id="rId15"/>
    <sheet state="visible" name="Checks" sheetId="12" r:id="rId16"/>
    <sheet state="visible" name="Legacy Source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tc={1ebd911c-b092-4cfa-a284-b03b82338623}</author>
    <author>tc={4bcfbcbd-4e6b-4ed7-84f4-85d7d7749a60}</author>
    <author>tc={61ab28ce-7352-4522-a7b6-1c1c7b6d8574}</author>
    <author>tc={63db1f43-03ea-4f3d-9efd-62120a66491d}</author>
    <author>tc={a923bcf5-d72e-4240-af27-56a5a3485566}</author>
    <author>tc={befb87c0-7783-45b7-a936-1b0d559e18a1}</author>
    <author>tc={fe0cfe06-3da1-4b62-90c6-961a41cdaa2c}</author>
  </authors>
  <commentList>
    <comment authorId="0" xr:uid="{1ebd911c-b092-4cfa-a284-b03b82338623}" ref="B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Source: https://supabase.com/pricing | Pro plan, accessed 2026-07-28.
</t>
      </text>
    </comment>
    <comment authorId="1" xr:uid="{4bcfbcbd-4e6b-4ed7-84f4-85d7d7749a60}" ref="B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Source: https://www.twilio.com/en-us/voice/pricing/us | US local phone number, accessed 2026-07-28.
</t>
      </text>
    </comment>
    <comment authorId="2" xr:uid="{61ab28ce-7352-4522-a7b6-1c1c7b6d8574}" ref="B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Source: https://zapier.com/pricing and uploaded source workbook. Annual billing equivalent.
</t>
      </text>
    </comment>
    <comment authorId="3" xr:uid="{63db1f43-03ea-4f3d-9efd-62120a66491d}" ref="B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Source: https://www.anthropic.com/claude/haiku | Claude Haiku 4.5 input pricing, accessed 2026-07-28.
</t>
      </text>
    </comment>
    <comment authorId="4" xr:uid="{a923bcf5-d72e-4240-af27-56a5a3485566}" ref="B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Source: https://elevenlabs.io/pricing/agents | ElevenAgents plans and included minutes, accessed 2026-07-28.
</t>
      </text>
    </comment>
    <comment authorId="5" xr:uid="{befb87c0-7783-45b7-a936-1b0d559e18a1}" ref="B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Source: https://www.twilio.com/en-us/voice/pricing/us | US inbound local voice, accessed 2026-07-28.
</t>
      </text>
    </comment>
    <comment authorId="6" xr:uid="{fe0cfe06-3da1-4b62-90c6-961a41cdaa2c}" ref="B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Source: https://docs.railway.com/pricing | Hobby minimum, accessed 2026-07-28.
</t>
      </text>
    </comment>
  </commentList>
</comments>
</file>

<file path=xl/sharedStrings.xml><?xml version="1.0" encoding="utf-8"?>
<sst xmlns="http://schemas.openxmlformats.org/spreadsheetml/2006/main" count="1504" uniqueCount="889">
  <si>
    <t>Fixed Operating Costs</t>
  </si>
  <si>
    <t>Assumptions</t>
  </si>
  <si>
    <t>Per-Customer Costs</t>
  </si>
  <si>
    <t>Blue cells are editable. Yellow cells require confirmation before the model can be considered fully loaded.</t>
  </si>
  <si>
    <t>Recurring cash floor only. Usage-sensitive voice costs are modeled in Profitability Forecast to avoid double counting.</t>
  </si>
  <si>
    <t>Selected-scenario unit economics. ElevenLabs is shown at the $0.08 incremental rate here; the scaling forecast optimizes shared plan tiers.</t>
  </si>
  <si>
    <t>MODEL CONTROLS</t>
  </si>
  <si>
    <t>Selected scenario</t>
  </si>
  <si>
    <t>ACTIVE MONTHLY FIXED COSTS</t>
  </si>
  <si>
    <t>Category</t>
  </si>
  <si>
    <t>Vendor</t>
  </si>
  <si>
    <t>Line item</t>
  </si>
  <si>
    <t>Billing</t>
  </si>
  <si>
    <t>Expected</t>
  </si>
  <si>
    <t>Source amount</t>
  </si>
  <si>
    <t>Cycle</t>
  </si>
  <si>
    <t>Selected forecast clients</t>
  </si>
  <si>
    <t>Monthly model cost</t>
  </si>
  <si>
    <t>Included?</t>
  </si>
  <si>
    <t>Source status</t>
  </si>
  <si>
    <t>CFO treatment</t>
  </si>
  <si>
    <t>Integration</t>
  </si>
  <si>
    <t>Zapier</t>
  </si>
  <si>
    <t>Values update the hub</t>
  </si>
  <si>
    <t>Professional 750 tasks</t>
  </si>
  <si>
    <t>Recurring</t>
  </si>
  <si>
    <t>Currency</t>
  </si>
  <si>
    <t>USD</t>
  </si>
  <si>
    <t>Model basis</t>
  </si>
  <si>
    <t>Monthly</t>
  </si>
  <si>
    <t>As of 2026-07-28</t>
  </si>
  <si>
    <t>Yes</t>
  </si>
  <si>
    <t>VOICE-FIRST PLAN DRIVERS — CFO RECOMMENDATION</t>
  </si>
  <si>
    <t>Verified</t>
  </si>
  <si>
    <t>Shared base; overages are variable</t>
  </si>
  <si>
    <t>Metric</t>
  </si>
  <si>
    <t>Database</t>
  </si>
  <si>
    <t>Supabase</t>
  </si>
  <si>
    <t>Starter</t>
  </si>
  <si>
    <t>Pro plan</t>
  </si>
  <si>
    <t>Growth</t>
  </si>
  <si>
    <t>Scale</t>
  </si>
  <si>
    <t>Unit</t>
  </si>
  <si>
    <t>Status</t>
  </si>
  <si>
    <t>Notes</t>
  </si>
  <si>
    <t>Monthly price</t>
  </si>
  <si>
    <t>MONTHLY UNIT ECONOMICS BY PLAN</t>
  </si>
  <si>
    <t>Shared base; incremental usage separately input</t>
  </si>
  <si>
    <t>Plan</t>
  </si>
  <si>
    <t>$ / month</t>
  </si>
  <si>
    <t>Hosting</t>
  </si>
  <si>
    <t>Proposed</t>
  </si>
  <si>
    <t>Railway</t>
  </si>
  <si>
    <t>Hobby minimum</t>
  </si>
  <si>
    <t>Starter remains below the $200 ceiling</t>
  </si>
  <si>
    <t>Price</t>
  </si>
  <si>
    <t>Setup fee</t>
  </si>
  <si>
    <t>Included min</t>
  </si>
  <si>
    <t>Scenario min</t>
  </si>
  <si>
    <t>Calls at cap</t>
  </si>
  <si>
    <t>$ one-time</t>
  </si>
  <si>
    <t>Number</t>
  </si>
  <si>
    <t>Covers implementation, testing, knowledge setup and launch</t>
  </si>
  <si>
    <t>Twilio</t>
  </si>
  <si>
    <t>Included voice minutes</t>
  </si>
  <si>
    <t>ElevenLabs</t>
  </si>
  <si>
    <t>Claude</t>
  </si>
  <si>
    <t>Zapier tasks</t>
  </si>
  <si>
    <t>Shared base; first $5 of usage included</t>
  </si>
  <si>
    <t>Zapier cost</t>
  </si>
  <si>
    <t>Website</t>
  </si>
  <si>
    <t>minutes / month</t>
  </si>
  <si>
    <t>TBD</t>
  </si>
  <si>
    <t>Host/DB inc.</t>
  </si>
  <si>
    <t>Website/domain/monitoring</t>
  </si>
  <si>
    <t>Hard usage limits; no unlimited plan</t>
  </si>
  <si>
    <t>Developer</t>
  </si>
  <si>
    <t>Owner value</t>
  </si>
  <si>
    <t>Phone numbers included</t>
  </si>
  <si>
    <t>Known cash cost</t>
  </si>
  <si>
    <t>Cash contribution</t>
  </si>
  <si>
    <t>numbers</t>
  </si>
  <si>
    <t>Fully loaded</t>
  </si>
  <si>
    <t>Cash margin</t>
  </si>
  <si>
    <t>Local US numbers</t>
  </si>
  <si>
    <t>Maximum AI call length</t>
  </si>
  <si>
    <t>INPUT REQUIRED</t>
  </si>
  <si>
    <t>Included at entered value</t>
  </si>
  <si>
    <t>G&amp;A</t>
  </si>
  <si>
    <t>Bookkeeping/accounting</t>
  </si>
  <si>
    <t>Risk</t>
  </si>
  <si>
    <t>Insurance/compliance</t>
  </si>
  <si>
    <t>Software</t>
  </si>
  <si>
    <t>Other recurring SaaS</t>
  </si>
  <si>
    <t>Voice</t>
  </si>
  <si>
    <t>Sole proprietor A2P</t>
  </si>
  <si>
    <t>No</t>
  </si>
  <si>
    <t>Legacy source</t>
  </si>
  <si>
    <t>SMS-only; exclude from voice base</t>
  </si>
  <si>
    <t>A2P brand registration</t>
  </si>
  <si>
    <t>One-time</t>
  </si>
  <si>
    <t>Not monthly; only if SMS is launched</t>
  </si>
  <si>
    <t>Cash</t>
  </si>
  <si>
    <t>Account funding/reload</t>
  </si>
  <si>
    <t>Prepayment</t>
  </si>
  <si>
    <t>As used</t>
  </si>
  <si>
    <t>Cash deposit is not a fixed P&amp;L expense</t>
  </si>
  <si>
    <t>Legacy annual Starter plan</t>
  </si>
  <si>
    <t>Legacy</t>
  </si>
  <si>
    <t>Annual</t>
  </si>
  <si>
    <t>Superseded</t>
  </si>
  <si>
    <t>Replaced by current ElevenAgents cost curve</t>
  </si>
  <si>
    <t>Fly.io</t>
  </si>
  <si>
    <t>Alternative to Railway</t>
  </si>
  <si>
    <t>Usage based</t>
  </si>
  <si>
    <t>Official pricing varies</t>
  </si>
  <si>
    <t>Do not run both hosts unless architecture requires it</t>
  </si>
  <si>
    <t>ACTIVE FIXED COST FLOOR</t>
  </si>
  <si>
    <t>minutes / call</t>
  </si>
  <si>
    <t>Policy</t>
  </si>
  <si>
    <t>Soft warning, confirmation, then transfer/callback ticket or hang-up</t>
  </si>
  <si>
    <t>Platform care — developer</t>
  </si>
  <si>
    <t>hours / month</t>
  </si>
  <si>
    <t>Capacity ceiling</t>
  </si>
  <si>
    <t>Availability pool, not guaranteed project labor</t>
  </si>
  <si>
    <t>Owner/client success time</t>
  </si>
  <si>
    <t>Review tickets, update knowledge and client communication</t>
  </si>
  <si>
    <t>Onboarding — developer</t>
  </si>
  <si>
    <t>hours / client</t>
  </si>
  <si>
    <t>Planning input</t>
  </si>
  <si>
    <t>Change after first 3 production implementations</t>
  </si>
  <si>
    <t>Historical workbook reported monthly total</t>
  </si>
  <si>
    <t>Onboarding — owner</t>
  </si>
  <si>
    <t>Discovery, training and acceptance</t>
  </si>
  <si>
    <t>Target customer</t>
  </si>
  <si>
    <t>Small local business</t>
  </si>
  <si>
    <t>Growing service business</t>
  </si>
  <si>
    <t>Multi-location operation</t>
  </si>
  <si>
    <t>CFO-corrected active fixed floor</t>
  </si>
  <si>
    <t>Positioning</t>
  </si>
  <si>
    <t>Voice-first managed AI support</t>
  </si>
  <si>
    <t>Difference / reclassification</t>
  </si>
  <si>
    <t>SCENARIO DRIVERS — EXPLICIT PLANNING ASSUMPTIONS</t>
  </si>
  <si>
    <t>Scenario</t>
  </si>
  <si>
    <t>Minute utilization</t>
  </si>
  <si>
    <t>Developer care utilization</t>
  </si>
  <si>
    <t>Owner time utilization</t>
  </si>
  <si>
    <t>Unresolved-call ticket rate</t>
  </si>
  <si>
    <t>Use</t>
  </si>
  <si>
    <t>Conservative</t>
  </si>
  <si>
    <t>CFO correction</t>
  </si>
  <si>
    <t>Planning assumption</t>
  </si>
  <si>
    <t>The prior $80.59 figure mixed fixed subscriptions with a Twilio funding reload and an obsolete ElevenLabs plan. The forecast now treats usage and prepaid funding according to economic substance.</t>
  </si>
  <si>
    <t>Stress test: full limits and full care availability consumed</t>
  </si>
  <si>
    <t>Operating forecast until real telemetry is available</t>
  </si>
  <si>
    <t>Efficient</t>
  </si>
  <si>
    <t>Automation works well and support demand is low</t>
  </si>
  <si>
    <t>Executive Summary</t>
  </si>
  <si>
    <t>Selected scenario output</t>
  </si>
  <si>
    <t>Voice-first CFO operating model | Version 1.0 | As of 2026-07-28 | USD / monthly unless noted</t>
  </si>
  <si>
    <t>MODEL STATUS</t>
  </si>
  <si>
    <t>Developer utilization</t>
  </si>
  <si>
    <t>Selected clients</t>
  </si>
  <si>
    <t>Owner utilization</t>
  </si>
  <si>
    <t>Input gaps</t>
  </si>
  <si>
    <t>Ticket rate</t>
  </si>
  <si>
    <t>VENDOR, LABOR AND SCALING INPUTS</t>
  </si>
  <si>
    <t>EXECUTIVE DECISION CARDS</t>
  </si>
  <si>
    <t>Input</t>
  </si>
  <si>
    <t>Value</t>
  </si>
  <si>
    <t>Starter price</t>
  </si>
  <si>
    <t>Source</t>
  </si>
  <si>
    <t>Owner / action</t>
  </si>
  <si>
    <t>Developer hourly rate</t>
  </si>
  <si>
    <t>$ / hour</t>
  </si>
  <si>
    <t>User confirmed</t>
  </si>
  <si>
    <t>CEO instruction</t>
  </si>
  <si>
    <t>CEO</t>
  </si>
  <si>
    <t>Goal rate; keep below $30/hour</t>
  </si>
  <si>
    <t>Owner hourly value</t>
  </si>
  <si>
    <t>COST DEFINITION &amp; DEVELOPER INPUTS</t>
  </si>
  <si>
    <t>Cost</t>
  </si>
  <si>
    <t>Included in forecast?</t>
  </si>
  <si>
    <t>Method</t>
  </si>
  <si>
    <t>Action</t>
  </si>
  <si>
    <t>Twilio inbound + numbers</t>
  </si>
  <si>
    <t>Pricing &amp; Add-ons</t>
  </si>
  <si>
    <t>Customer-facing architecture with hard minute limits, a two-minute conversation policy and managed platform care.</t>
  </si>
  <si>
    <t>Fixed cash floor</t>
  </si>
  <si>
    <t>1-client cash profit</t>
  </si>
  <si>
    <t>1-client full-use profit</t>
  </si>
  <si>
    <t>VOICE-FIRST MONTHLY PLANS</t>
  </si>
  <si>
    <t>Break-even clients</t>
  </si>
  <si>
    <t>Minutes</t>
  </si>
  <si>
    <t>Max call</t>
  </si>
  <si>
    <t>Numbers</t>
  </si>
  <si>
    <t>Developer care</t>
  </si>
  <si>
    <t>Owner success</t>
  </si>
  <si>
    <t>24/7 answering</t>
  </si>
  <si>
    <t>Callback ticket portal</t>
  </si>
  <si>
    <t>Booking</t>
  </si>
  <si>
    <t>Transfers</t>
  </si>
  <si>
    <t>Selected-scale MRR</t>
  </si>
  <si>
    <t>Best for</t>
  </si>
  <si>
    <t>Guardrail</t>
  </si>
  <si>
    <t>Base remains under $200</t>
  </si>
  <si>
    <t>Excludes usage/vendor tiers</t>
  </si>
  <si>
    <t>Conservative scenario</t>
  </si>
  <si>
    <t>Selected unit model</t>
  </si>
  <si>
    <t>All-Starter forecast</t>
  </si>
  <si>
    <t>Basic</t>
  </si>
  <si>
    <t>Small local businesses</t>
  </si>
  <si>
    <t>Warn → confirm → ticket/transfer/hang up</t>
  </si>
  <si>
    <t>CFO READOUT</t>
  </si>
  <si>
    <t>PROFIT TREND — SELECTED SCENARIO</t>
  </si>
  <si>
    <t>Decision</t>
  </si>
  <si>
    <t>CFO conclusion</t>
  </si>
  <si>
    <t>Why it matters</t>
  </si>
  <si>
    <t>Action owner</t>
  </si>
  <si>
    <t>Timing</t>
  </si>
  <si>
    <t>Clients</t>
  </si>
  <si>
    <t>Not provided</t>
  </si>
  <si>
    <t>Cash profit</t>
  </si>
  <si>
    <t>Fully loaded profit</t>
  </si>
  <si>
    <t>0 excludes owner opportunity cost from fully loaded profit</t>
  </si>
  <si>
    <t>Productive developer capacity</t>
  </si>
  <si>
    <t>Launch price</t>
  </si>
  <si>
    <t>$149 Starter / 100 minutes</t>
  </si>
  <si>
    <t>Covers the corrected cash floor and two hours of developer availability in the current model</t>
  </si>
  <si>
    <t>Management assumption</t>
  </si>
  <si>
    <t>CEO/Developer</t>
  </si>
  <si>
    <t>Launch</t>
  </si>
  <si>
    <t>Advanced</t>
  </si>
  <si>
    <t>Update to actual sustainable delivery capacity</t>
  </si>
  <si>
    <t>Growing service businesses</t>
  </si>
  <si>
    <t>Recommended</t>
  </si>
  <si>
    <t>Official US rate × modeled usage</t>
  </si>
  <si>
    <t>Same two-minute policy; configurable exceptions</t>
  </si>
  <si>
    <t>Twilio inbound local call</t>
  </si>
  <si>
    <t>No action unless country/number type changes</t>
  </si>
  <si>
    <t>$ / minute</t>
  </si>
  <si>
    <t>Twilio official</t>
  </si>
  <si>
    <t>CFO</t>
  </si>
  <si>
    <t>US receive-call rate</t>
  </si>
  <si>
    <t>Twilio local phone number</t>
  </si>
  <si>
    <t>$ / number / month</t>
  </si>
  <si>
    <t>US local number</t>
  </si>
  <si>
    <t>Twilio call recording</t>
  </si>
  <si>
    <t>Verified optional</t>
  </si>
  <si>
    <t>Forecast selects the least-cost official self-serve plan curve</t>
  </si>
  <si>
    <t>Review plan selection when concurrency becomes binding</t>
  </si>
  <si>
    <t>Not included in base forecast until enabled</t>
  </si>
  <si>
    <t>Twilio Media Streams</t>
  </si>
  <si>
    <t>Verify architecture</t>
  </si>
  <si>
    <t>Call guardrail</t>
  </si>
  <si>
    <t>Two-minute default with warning, confirmation and escalation</t>
  </si>
  <si>
    <t>Protects minutes while preserving legitimate booking/transfer use cases</t>
  </si>
  <si>
    <t>Only include if the selected voice path uses Media Streams</t>
  </si>
  <si>
    <t>Claude Haiku 4.5 input</t>
  </si>
  <si>
    <t>Before Tsunami</t>
  </si>
  <si>
    <t>Required</t>
  </si>
  <si>
    <t>$ / million tokens</t>
  </si>
  <si>
    <t>Advanced routing</t>
  </si>
  <si>
    <t>Multi-location operations</t>
  </si>
  <si>
    <t>Formula active; currently $0</t>
  </si>
  <si>
    <t>Custom routing with two-minute default</t>
  </si>
  <si>
    <t>Anthropic official</t>
  </si>
  <si>
    <t>Official token rate × measured tokens per minute</t>
  </si>
  <si>
    <t>Enterprise</t>
  </si>
  <si>
    <t>Standard input token price</t>
  </si>
  <si>
    <t>Developer must populate Assumptions B47:B48</t>
  </si>
  <si>
    <t>Custom</t>
  </si>
  <si>
    <t>Claude Haiku 4.5 output</t>
  </si>
  <si>
    <t>Custom SLA</t>
  </si>
  <si>
    <t>Standard output token price</t>
  </si>
  <si>
    <t>Claude input tokens per call minute</t>
  </si>
  <si>
    <t>Large/regulated operations</t>
  </si>
  <si>
    <t>tokens / minute</t>
  </si>
  <si>
    <t>Contracted controls</t>
  </si>
  <si>
    <t>Zapier overage</t>
  </si>
  <si>
    <t>Production telemetry</t>
  </si>
  <si>
    <t>Cost accounting</t>
  </si>
  <si>
    <t>Formula active; may be $0</t>
  </si>
  <si>
    <t>Shared included tasks then account-specific overage</t>
  </si>
  <si>
    <t>Twilio reload is a prepayment, not fixed expense</t>
  </si>
  <si>
    <t>Run instrumented calls and populate measured average</t>
  </si>
  <si>
    <t>Developer must populate workflow task counts and verify overage rate</t>
  </si>
  <si>
    <t>Prevents double-counting and false break-even conclusions</t>
  </si>
  <si>
    <t>Claude output tokens per call minute</t>
  </si>
  <si>
    <t>CEO/CFO</t>
  </si>
  <si>
    <t>Now</t>
  </si>
  <si>
    <t>Corrected</t>
  </si>
  <si>
    <t>Zapier Professional</t>
  </si>
  <si>
    <t>Zapier official / source workbook</t>
  </si>
  <si>
    <t>Owner opportunity cost</t>
  </si>
  <si>
    <t>Annual-billing equivalent; 750-task tier</t>
  </si>
  <si>
    <t>Zapier included tasks</t>
  </si>
  <si>
    <t>tasks / month</t>
  </si>
  <si>
    <t>Zapier official</t>
  </si>
  <si>
    <t>Unknown usage</t>
  </si>
  <si>
    <t>Shared account capacity</t>
  </si>
  <si>
    <t>Zapier overage cost per task</t>
  </si>
  <si>
    <t>$ / task</t>
  </si>
  <si>
    <t>VERIFY ACCOUNT</t>
  </si>
  <si>
    <t>ADD-ONS &amp; OVERAGES</t>
  </si>
  <si>
    <t>Legacy workbook</t>
  </si>
  <si>
    <t>Developer/CEO</t>
  </si>
  <si>
    <t>Account-specific rate; confirm Billing page after 2026-07-15 change</t>
  </si>
  <si>
    <t>PLATFORM CARE INCLUDED</t>
  </si>
  <si>
    <t>Zapier tasks per completed call</t>
  </si>
  <si>
    <t>Fully loaded only; currently $0</t>
  </si>
  <si>
    <t>Add-on</t>
  </si>
  <si>
    <t>Owner hours × owner hourly value</t>
  </si>
  <si>
    <t>tasks / call</t>
  </si>
  <si>
    <t>CEO must populate Assumptions B39</t>
  </si>
  <si>
    <t>Customer price</t>
  </si>
  <si>
    <t>Workflow design</t>
  </si>
  <si>
    <t>Claude tokens, Zapier tasks and website demo traffic remain open</t>
  </si>
  <si>
    <t>Cost treatment</t>
  </si>
  <si>
    <t>Count successful paid actions, not triggers</t>
  </si>
  <si>
    <t>Profits shown are known-cost figures until telemetry is entered</t>
  </si>
  <si>
    <t>Zapier tasks per unresolved ticket</t>
  </si>
  <si>
    <t>Pilot</t>
  </si>
  <si>
    <t>Input needed</t>
  </si>
  <si>
    <t>tasks / ticket</t>
  </si>
  <si>
    <t>Service</t>
  </si>
  <si>
    <t>Included</t>
  </si>
  <si>
    <t>Boundary</t>
  </si>
  <si>
    <t>Ticket creation + notifications + CRM actions</t>
  </si>
  <si>
    <t>Customer outcome</t>
  </si>
  <si>
    <t>Railway base</t>
  </si>
  <si>
    <t>100 additional voice minutes</t>
  </si>
  <si>
    <t>Railway official</t>
  </si>
  <si>
    <t>Hobby minimum includes first $5 of usage</t>
  </si>
  <si>
    <t>Railway incremental per client</t>
  </si>
  <si>
    <t>Usage flows through vendor rates</t>
  </si>
  <si>
    <t>$ / client / month</t>
  </si>
  <si>
    <t>$0.25/min package</t>
  </si>
  <si>
    <t>Production invoice</t>
  </si>
  <si>
    <t>Scale trigger</t>
  </si>
  <si>
    <t>System health monitoring</t>
  </si>
  <si>
    <t>Populate once resource usage exceeds the base minimum</t>
  </si>
  <si>
    <t>Track developer care hours weekly</t>
  </si>
  <si>
    <t>Hire/contract before sustained utilization reaches 80% of productive capacity</t>
  </si>
  <si>
    <t>Routine monitoring</t>
  </si>
  <si>
    <t>Supabase Pro base</t>
  </si>
  <si>
    <t>Fewer silent failures</t>
  </si>
  <si>
    <t>Ongoing</t>
  </si>
  <si>
    <t>KPI</t>
  </si>
  <si>
    <t>Supabase official</t>
  </si>
  <si>
    <t>Voice minute overage</t>
  </si>
  <si>
    <t>Includes first project and $10 compute credit</t>
  </si>
  <si>
    <t>Per minute</t>
  </si>
  <si>
    <t>Supabase incremental per client</t>
  </si>
  <si>
    <t>Below Reception.ai's published $0.40/min overage benchmark</t>
  </si>
  <si>
    <t>AI prompt tuning</t>
  </si>
  <si>
    <t>Use only for measured incremental consumption</t>
  </si>
  <si>
    <t>Within existing workflow</t>
  </si>
  <si>
    <t>Better call quality</t>
  </si>
  <si>
    <t>Additional local number</t>
  </si>
  <si>
    <t>Enter website, domain, analytics and monitoring cash cost</t>
  </si>
  <si>
    <t>Public demo usage</t>
  </si>
  <si>
    <t>Twilio number cost + margin</t>
  </si>
  <si>
    <t>voice minutes / month</t>
  </si>
  <si>
    <t>One local US number</t>
  </si>
  <si>
    <t>Launch plan</t>
  </si>
  <si>
    <t>Knowledge base updates</t>
  </si>
  <si>
    <t>Website demo usage paid by LumiLink</t>
  </si>
  <si>
    <t>Public demo phone numbers</t>
  </si>
  <si>
    <t>Normal monthly changes</t>
  </si>
  <si>
    <t>Current answers</t>
  </si>
  <si>
    <t>Product design</t>
  </si>
  <si>
    <t>Additional department / routing tree</t>
  </si>
  <si>
    <t>One dedicated demo number until architecture is confirmed</t>
  </si>
  <si>
    <t>Payment processing rate</t>
  </si>
  <si>
    <t>Support + workflow cost</t>
  </si>
  <si>
    <t>Separate escalation logic</t>
  </si>
  <si>
    <t>% of revenue</t>
  </si>
  <si>
    <t>Bug fixes</t>
  </si>
  <si>
    <t>Billing provider</t>
  </si>
  <si>
    <t>LumiLink platform defects</t>
  </si>
  <si>
    <t>Enter actual card/ACH blended rate; leave 0 for invoiced ACH</t>
  </si>
  <si>
    <t>Reliable service</t>
  </si>
  <si>
    <t>Customer acquisition cost</t>
  </si>
  <si>
    <t>$ / new client</t>
  </si>
  <si>
    <t>Extra platform care</t>
  </si>
  <si>
    <t>Sales telemetry</t>
  </si>
  <si>
    <t>Per hour</t>
  </si>
  <si>
    <t>Developer labor</t>
  </si>
  <si>
    <t>Needed for payback and LTV</t>
  </si>
  <si>
    <t>Monthly logo churn</t>
  </si>
  <si>
    <t>Bill beyond included availability pool</t>
  </si>
  <si>
    <t>Integration monitoring</t>
  </si>
  <si>
    <t>% / month</t>
  </si>
  <si>
    <t>Existing supported integrations</t>
  </si>
  <si>
    <t>Retention telemetry</t>
  </si>
  <si>
    <t>Stable workflows</t>
  </si>
  <si>
    <t>Needed for LTV</t>
  </si>
  <si>
    <t>Priority support</t>
  </si>
  <si>
    <t>Support capacity</t>
  </si>
  <si>
    <t>Faster response target; no emergency SLA</t>
  </si>
  <si>
    <t>New feature development</t>
  </si>
  <si>
    <t>Quoted separately</t>
  </si>
  <si>
    <t>Clear scope and economics</t>
  </si>
  <si>
    <t>E-commerce connector</t>
  </si>
  <si>
    <t>Recurring professional services</t>
  </si>
  <si>
    <t>Workflow/task usage</t>
  </si>
  <si>
    <t>Roadmap</t>
  </si>
  <si>
    <t>Shopify or WooCommerce; setup billed separately</t>
  </si>
  <si>
    <t>Custom department build</t>
  </si>
  <si>
    <t>Routing add-on or project</t>
  </si>
  <si>
    <t>Predictable customization</t>
  </si>
  <si>
    <t>Cyber, general liability and compliance</t>
  </si>
  <si>
    <t>E-commerce connector setup</t>
  </si>
  <si>
    <t>Developer onboarding labor</t>
  </si>
  <si>
    <t>Only recurring business tools not listed elsewhere</t>
  </si>
  <si>
    <t>Per supported storefront</t>
  </si>
  <si>
    <t>Emergency support</t>
  </si>
  <si>
    <t>No base SLA</t>
  </si>
  <si>
    <t>Quoted contract</t>
  </si>
  <si>
    <t>Avoids uncapped obligations</t>
  </si>
  <si>
    <t>SMS follow-up package</t>
  </si>
  <si>
    <t>Monthly + carrier use</t>
  </si>
  <si>
    <t>A2P + messaging pass-through</t>
  </si>
  <si>
    <t>Do not enable until messaging compliance is confirmed</t>
  </si>
  <si>
    <t>ELEVENLABS ELEVENAGENTS COST CURVE — OFFICIAL SELF-SERVE PRICING</t>
  </si>
  <si>
    <t>Call recording + retention</t>
  </si>
  <si>
    <t>Twilio recording + storage</t>
  </si>
  <si>
    <t>Consent and retention policy required</t>
  </si>
  <si>
    <t>Monthly fee</t>
  </si>
  <si>
    <t>Included call minutes</t>
  </si>
  <si>
    <t>Additional minute</t>
  </si>
  <si>
    <t>Concurrent calls</t>
  </si>
  <si>
    <t>Website chat widget</t>
  </si>
  <si>
    <t>Model + hosting usage</t>
  </si>
  <si>
    <t>Pricing to validate after measured chat cost</t>
  </si>
  <si>
    <t>HOW TO USE THIS HUB</t>
  </si>
  <si>
    <t>Multilingual voice</t>
  </si>
  <si>
    <t>Model selects the lowest total cost at each scale point</t>
  </si>
  <si>
    <t>Voice/LLM usage</t>
  </si>
  <si>
    <t>Creator</t>
  </si>
  <si>
    <t>Language availability and quality testing required</t>
  </si>
  <si>
    <t>1</t>
  </si>
  <si>
    <t>Update only blue/yellow Assumptions cells.</t>
  </si>
  <si>
    <t>Pro</t>
  </si>
  <si>
    <t>Custom workflow/integration</t>
  </si>
  <si>
    <t>2</t>
  </si>
  <si>
    <t>Developer fills measured tokens, Zapier tasks and incremental hosting after instrumented pilots.</t>
  </si>
  <si>
    <t>From / one-time</t>
  </si>
  <si>
    <t>Quote complexity above standard scope</t>
  </si>
  <si>
    <t>3</t>
  </si>
  <si>
    <t>Business</t>
  </si>
  <si>
    <t>Review Checks until MODEL STATUS becomes PASS.</t>
  </si>
  <si>
    <t>Enterprise is custom and excluded</t>
  </si>
  <si>
    <t>4</t>
  </si>
  <si>
    <t>Use Scenario Analysis before changing price, minutes or maintenance allocations.</t>
  </si>
  <si>
    <t>5</t>
  </si>
  <si>
    <t>Do not treat fully loaded profit as complete until owner hourly value is entered.</t>
  </si>
  <si>
    <t>Onboarding Economics</t>
  </si>
  <si>
    <t>One-time economics for implementation. Owner time remains excluded from fully loaded economics until the CEO enters an hourly value.</t>
  </si>
  <si>
    <t>SETUP ECONOMICS BY PLAN</t>
  </si>
  <si>
    <t>Dev hours</t>
  </si>
  <si>
    <t>Dev cost</t>
  </si>
  <si>
    <t>Owner hours</t>
  </si>
  <si>
    <t>Owner cost</t>
  </si>
  <si>
    <t>Other setup cost</t>
  </si>
  <si>
    <t>Cash setup cost</t>
  </si>
  <si>
    <t>Fully loaded contribution</t>
  </si>
  <si>
    <t>Profitability Forecast</t>
  </si>
  <si>
    <t>All-Starter launch forecast at the selected scenario. Includes shared-vendor plan optimization, fixed overhead, developer care and demo usage.</t>
  </si>
  <si>
    <t>Selected minute use</t>
  </si>
  <si>
    <t>Selected dev use</t>
  </si>
  <si>
    <t>MONTHLY STARTER-CLIENT PROFITABILITY</t>
  </si>
  <si>
    <t>Revenue</t>
  </si>
  <si>
    <t>Platform minutes</t>
  </si>
  <si>
    <t>Calls</t>
  </si>
  <si>
    <t>Payment fees</t>
  </si>
  <si>
    <t>Fixed opex</t>
  </si>
  <si>
    <t>Dev FTE</t>
  </si>
  <si>
    <t>EL Starter</t>
  </si>
  <si>
    <t>EL Creator</t>
  </si>
  <si>
    <t>EL Pro</t>
  </si>
  <si>
    <t>EL Scale</t>
  </si>
  <si>
    <t>EL Business</t>
  </si>
  <si>
    <t>Least-cost plan</t>
  </si>
  <si>
    <t>STARTER ONBOARDING CAPACITY &amp; CASH REQUIREMENT</t>
  </si>
  <si>
    <t>New clients</t>
  </si>
  <si>
    <t>Setup revenue</t>
  </si>
  <si>
    <t>Developer hours</t>
  </si>
  <si>
    <t>Developer cash cost</t>
  </si>
  <si>
    <t>Margins &amp; Unit Economics</t>
  </si>
  <si>
    <t>Decision view of plan economics. Cash margin excludes owner opportunity cost until Assumptions B39 is populated.</t>
  </si>
  <si>
    <t>PLAN MARGINS &amp; BREAK-EVEN</t>
  </si>
  <si>
    <t>Scenario minutes</t>
  </si>
  <si>
    <t>Fully loaded margin</t>
  </si>
  <si>
    <t>Dev hours used</t>
  </si>
  <si>
    <t>Revenue / dev hour</t>
  </si>
  <si>
    <t>Selected-case break-even clients</t>
  </si>
  <si>
    <t>First-client cash profit after fixed</t>
  </si>
  <si>
    <t>KPIs</t>
  </si>
  <si>
    <t>Operational scorecard at the client count selected in Assumptions. KPI gaps stay explicit until sales and usage telemetry exist.</t>
  </si>
  <si>
    <t>SELECTED-SCALE KPI SCORECARD</t>
  </si>
  <si>
    <t>Interpretation</t>
  </si>
  <si>
    <t>accounts</t>
  </si>
  <si>
    <t>Selected planning point</t>
  </si>
  <si>
    <t>MRR</t>
  </si>
  <si>
    <t>Recurring revenue</t>
  </si>
  <si>
    <t>ARR</t>
  </si>
  <si>
    <t>$ / year</t>
  </si>
  <si>
    <t>MRR × 12</t>
  </si>
  <si>
    <t>ARPA</t>
  </si>
  <si>
    <t>$ / client</t>
  </si>
  <si>
    <t>Starter-only forecast</t>
  </si>
  <si>
    <t>Cash operating profit</t>
  </si>
  <si>
    <t>Before owner opportunity cost</t>
  </si>
  <si>
    <t>Cash net margin</t>
  </si>
  <si>
    <t>%</t>
  </si>
  <si>
    <t>After fixed overhead</t>
  </si>
  <si>
    <t>Handled minutes</t>
  </si>
  <si>
    <t>Includes public demo use</t>
  </si>
  <si>
    <t>Cost per handled minute</t>
  </si>
  <si>
    <t>All known cash costs / minutes</t>
  </si>
  <si>
    <t>Developer FTE required</t>
  </si>
  <si>
    <t>FTE</t>
  </si>
  <si>
    <t>Based on productive hours input</t>
  </si>
  <si>
    <t>Revenue per dev hour</t>
  </si>
  <si>
    <t>Measures service leverage</t>
  </si>
  <si>
    <t>clients</t>
  </si>
  <si>
    <t>Selected-scenario unit contribution</t>
  </si>
  <si>
    <t>Fixed-cost coverage</t>
  </si>
  <si>
    <t>x</t>
  </si>
  <si>
    <t>Revenue / fixed opex</t>
  </si>
  <si>
    <t>CAC payback</t>
  </si>
  <si>
    <t>months</t>
  </si>
  <si>
    <t>Requires CAC</t>
  </si>
  <si>
    <t>Indicative LTV</t>
  </si>
  <si>
    <t>$</t>
  </si>
  <si>
    <t>Requires churn and ARPA contribution</t>
  </si>
  <si>
    <t>KPI DEFINITIONS &amp; MANAGEMENT CADENCE</t>
  </si>
  <si>
    <t>Definition</t>
  </si>
  <si>
    <t>Target / trigger</t>
  </si>
  <si>
    <t>Cadence</t>
  </si>
  <si>
    <t>Owner</t>
  </si>
  <si>
    <t>Current limitation</t>
  </si>
  <si>
    <t>Revenue less known cash costs and fixed opex ÷ revenue</t>
  </si>
  <si>
    <t>Positive from client 1; protect ≥60% at scale</t>
  </si>
  <si>
    <t>Unknown token/task/owner costs can reduce it</t>
  </si>
  <si>
    <t>Client care hours ÷ productive capacity</t>
  </si>
  <si>
    <t>Hire/contract before sustained 80%</t>
  </si>
  <si>
    <t>Weekly</t>
  </si>
  <si>
    <t>Use actual time tracking</t>
  </si>
  <si>
    <t>Call containment</t>
  </si>
  <si>
    <t>Calls completed without human callback</t>
  </si>
  <si>
    <t>Set after first 100 calls</t>
  </si>
  <si>
    <t>Product</t>
  </si>
  <si>
    <t>No production telemetry</t>
  </si>
  <si>
    <t>Unresolved-call tickets ÷ calls</t>
  </si>
  <si>
    <t>Downward trend without quality loss</t>
  </si>
  <si>
    <t>Client success</t>
  </si>
  <si>
    <t>Scenario input only</t>
  </si>
  <si>
    <t>CAC ÷ monthly cash contribution</t>
  </si>
  <si>
    <t>&lt;6 months at launch</t>
  </si>
  <si>
    <t>CAC input required</t>
  </si>
  <si>
    <t>Logo churn</t>
  </si>
  <si>
    <t>Lost clients ÷ opening clients</t>
  </si>
  <si>
    <t>&lt;2% monthly when scaled</t>
  </si>
  <si>
    <t>No retention history</t>
  </si>
  <si>
    <t>Scenario Analysis</t>
  </si>
  <si>
    <t>Side-by-side stress test for Starter clients at the selected client count. Unknown usage inputs remain visible and formula-linked.</t>
  </si>
  <si>
    <t>SCENARIO COMPARISON</t>
  </si>
  <si>
    <t>ONE-CLIENT STARTER PRICE SENSITIVITY — CASH PROFIT</t>
  </si>
  <si>
    <t>Sources &amp; Audit</t>
  </si>
  <si>
    <t>Primary sources for external rates and explicit ownership of unverified operational inputs.</t>
  </si>
  <si>
    <t>SOURCE LOG</t>
  </si>
  <si>
    <t>Item</t>
  </si>
  <si>
    <t>As of</t>
  </si>
  <si>
    <t>Source type</t>
  </si>
  <si>
    <t>URL / reference</t>
  </si>
  <si>
    <t>Audit note</t>
  </si>
  <si>
    <t>Twilio inbound local voice</t>
  </si>
  <si>
    <t>$/min</t>
  </si>
  <si>
    <t>2026-07-28</t>
  </si>
  <si>
    <t>Official vendor</t>
  </si>
  <si>
    <t>Twilio Voice US</t>
  </si>
  <si>
    <t>https://www.twilio.com/en-us/voice/pricing/us</t>
  </si>
  <si>
    <t>Receive calls — local number</t>
  </si>
  <si>
    <t>Twilio local number</t>
  </si>
  <si>
    <t>$/month</t>
  </si>
  <si>
    <t>Twilio recording</t>
  </si>
  <si>
    <t>Only if recording enabled</t>
  </si>
  <si>
    <t>Architecture-dependent</t>
  </si>
  <si>
    <t>Confirm whether selected integration incurs it</t>
  </si>
  <si>
    <t>ElevenAgents Starter</t>
  </si>
  <si>
    <t>ONE STARTER CLIENT — COST BRIDGE</t>
  </si>
  <si>
    <t>$/month; 75 min</t>
  </si>
  <si>
    <t>https://elevenlabs.io/pricing/agents</t>
  </si>
  <si>
    <t>Additional minutes $0.08</t>
  </si>
  <si>
    <t>ElevenAgents Creator</t>
  </si>
  <si>
    <t>$/month; 275 min</t>
  </si>
  <si>
    <t>Phone numbers</t>
  </si>
  <si>
    <t>Other known variable</t>
  </si>
  <si>
    <t>ElevenAgents Pro</t>
  </si>
  <si>
    <t>$/month; 1,238 min</t>
  </si>
  <si>
    <t>$/MTok</t>
  </si>
  <si>
    <t>Anthropic</t>
  </si>
  <si>
    <t>https://www.anthropic.com/claude/haiku</t>
  </si>
  <si>
    <t>Output $5/MTok</t>
  </si>
  <si>
    <t>$/month annual billing</t>
  </si>
  <si>
    <t>https://zapier.com/pricing</t>
  </si>
  <si>
    <t>750 tasks/month</t>
  </si>
  <si>
    <t>Zapier overage rate</t>
  </si>
  <si>
    <t>$/task</t>
  </si>
  <si>
    <t>Legacy workbook/account</t>
  </si>
  <si>
    <t>LumiLink source</t>
  </si>
  <si>
    <t>LumiLink Costs_Client Pricing-2.xlsx</t>
  </si>
  <si>
    <t>Pricing changed for some monthly accounts after 2026-07-15</t>
  </si>
  <si>
    <t>Supabase Pro</t>
  </si>
  <si>
    <t>https://supabase.com/pricing</t>
  </si>
  <si>
    <t>Includes $10 compute credit</t>
  </si>
  <si>
    <t>Railway Hobby</t>
  </si>
  <si>
    <t>$/month minimum</t>
  </si>
  <si>
    <t>https://docs.railway.com/pricing</t>
  </si>
  <si>
    <t>First $5 of usage included</t>
  </si>
  <si>
    <t>varies by region/config</t>
  </si>
  <si>
    <t>https://fly.io/docs/about/pricing/</t>
  </si>
  <si>
    <t>Not selected</t>
  </si>
  <si>
    <t>Alternative host; do not double count with Railway</t>
  </si>
  <si>
    <t>Developer rate</t>
  </si>
  <si>
    <t>$/hour</t>
  </si>
  <si>
    <t>User-provided</t>
  </si>
  <si>
    <t>Referenced conversation</t>
  </si>
  <si>
    <t>Confirmed</t>
  </si>
  <si>
    <t>Goal rate; under $30/hour</t>
  </si>
  <si>
    <t>Historical workbook</t>
  </si>
  <si>
    <t>$/month reported</t>
  </si>
  <si>
    <t>Uploaded source</t>
  </si>
  <si>
    <t>LumiLink workbook</t>
  </si>
  <si>
    <t>/Users/jayv/Downloads/LumiLink Costs_Client Pricing-2.xlsx</t>
  </si>
  <si>
    <t>Preserved/reclassified</t>
  </si>
  <si>
    <t>Contained broken references and mixed cash funding with expenses</t>
  </si>
  <si>
    <t>Checks</t>
  </si>
  <si>
    <t>Model controls distinguish formula failures from known input gaps. Warnings are intentional and actionable.</t>
  </si>
  <si>
    <t>CONTROL TESTS</t>
  </si>
  <si>
    <t>Check</t>
  </si>
  <si>
    <t>Actual</t>
  </si>
  <si>
    <t>Difference</t>
  </si>
  <si>
    <t>Tolerance</t>
  </si>
  <si>
    <t>Where to fix</t>
  </si>
  <si>
    <t>Starter price ceiling</t>
  </si>
  <si>
    <t>Assumptions B11</t>
  </si>
  <si>
    <t>Fixed-cost total ties</t>
  </si>
  <si>
    <t>Fixed Operating Costs G20</t>
  </si>
  <si>
    <t>One-client profit formula tie</t>
  </si>
  <si>
    <t>Profitability Forecast P8</t>
  </si>
  <si>
    <t>Scenario selector valid</t>
  </si>
  <si>
    <t>Assumptions B5</t>
  </si>
  <si>
    <t>Plan prices positive</t>
  </si>
  <si>
    <t>Assumptions B11:D11</t>
  </si>
  <si>
    <t>Setup cash contributions nonnegative</t>
  </si>
  <si>
    <t>Onboarding Economics I6:I8</t>
  </si>
  <si>
    <t>&gt;0</t>
  </si>
  <si>
    <t>Assumptions B39</t>
  </si>
  <si>
    <t>Claude input tokens/min</t>
  </si>
  <si>
    <t>Assumptions B47</t>
  </si>
  <si>
    <t>Claude output tokens/min</t>
  </si>
  <si>
    <t>Assumptions B48</t>
  </si>
  <si>
    <t>Zapier tasks/call</t>
  </si>
  <si>
    <t>Assumptions B52</t>
  </si>
  <si>
    <t>Zapier tasks/ticket</t>
  </si>
  <si>
    <t>Assumptions B53</t>
  </si>
  <si>
    <t>Zapier overage rate verified</t>
  </si>
  <si>
    <t>Assumptions B51</t>
  </si>
  <si>
    <t>Website/domain cost</t>
  </si>
  <si>
    <t>&gt;0 or confirmed $0</t>
  </si>
  <si>
    <t>Assumptions B58</t>
  </si>
  <si>
    <t>Demo minutes</t>
  </si>
  <si>
    <t>Assumptions B59</t>
  </si>
  <si>
    <t>Assumptions B61</t>
  </si>
  <si>
    <t>CAC input</t>
  </si>
  <si>
    <t>Assumptions B62</t>
  </si>
  <si>
    <t>Churn input</t>
  </si>
  <si>
    <t>Assumptions B63</t>
  </si>
  <si>
    <t>Email pricing removed from live model</t>
  </si>
  <si>
    <t>OK</t>
  </si>
  <si>
    <t>Legacy Source</t>
  </si>
  <si>
    <t>Read-only historical snapshot from the uploaded workbook. Broken formulas were not carried into the live model.</t>
  </si>
  <si>
    <t>LEGACY OP COSTS — EXACT SOURCE VALUES</t>
  </si>
  <si>
    <t>Vendor/Tool</t>
  </si>
  <si>
    <t>Billing Type</t>
  </si>
  <si>
    <t>Cost (USD)</t>
  </si>
  <si>
    <t>Billing Cycle</t>
  </si>
  <si>
    <t xml:space="preserve">Payment Method </t>
  </si>
  <si>
    <t>Monthly B. Cycle Sum</t>
  </si>
  <si>
    <t>Annual B. Cycle</t>
  </si>
  <si>
    <t>Overall</t>
  </si>
  <si>
    <t>Reccuring</t>
  </si>
  <si>
    <t>Apple Pay (CC)</t>
  </si>
  <si>
    <t>Starter Plan (30,000 credits)</t>
  </si>
  <si>
    <t>[broken formula in source]</t>
  </si>
  <si>
    <t>Chase Debit</t>
  </si>
  <si>
    <t>Professional plan (750 tasks), Pay-per-task billing
($0.0334/task) (1500 tasks)</t>
  </si>
  <si>
    <t>Twilio A2P Brand Registration</t>
  </si>
  <si>
    <t>One Time</t>
  </si>
  <si>
    <t>One TIme</t>
  </si>
  <si>
    <t>Chase Credit</t>
  </si>
  <si>
    <t>Paid once at setup</t>
  </si>
  <si>
    <t>Twilio Sole Proprietor A2P</t>
  </si>
  <si>
    <t>Required for SMS compliance</t>
  </si>
  <si>
    <t>Usage Based</t>
  </si>
  <si>
    <t>Account Funding (rule set to refil to $20 if account drops below $10)</t>
  </si>
  <si>
    <t>Pro plan; shared DB, auth, storage, realtime across all clients, required for connections</t>
  </si>
  <si>
    <t>Voice backend hosting; usage billed against $5/mo credit</t>
  </si>
  <si>
    <t>Voice backend alternative to Railway; edge deployment reduces call latency near Twilio PoPs. Migrate from Railway only if latency becomes measurable in production. Est. $5-10/mo.</t>
  </si>
  <si>
    <t>AI</t>
  </si>
  <si>
    <t>Claude API (Haiku 4.5)</t>
  </si>
  <si>
    <t xml:space="preserve">$1/$5 per M tokens in/out </t>
  </si>
  <si>
    <t>Claude API (Sonnet 4.6)</t>
  </si>
  <si>
    <t xml:space="preserve">$3/$15 per M tokens in/out </t>
  </si>
  <si>
    <t>TOTAL</t>
  </si>
  <si>
    <t>FIXED COSTS</t>
  </si>
  <si>
    <t>WOOCOMMERCE</t>
  </si>
  <si>
    <t>SHOPIFY</t>
  </si>
  <si>
    <t>Host/DB incremental</t>
  </si>
  <si>
    <t>LEGACY CUSTOMER COSTS — EXACT SOURCE VALUES</t>
  </si>
  <si>
    <t>Cost Type</t>
  </si>
  <si>
    <t>Phone Number (local)</t>
  </si>
  <si>
    <t>Approx $1 per number</t>
  </si>
  <si>
    <t>Call Minutes</t>
  </si>
  <si>
    <t>Depends on volume</t>
  </si>
  <si>
    <t>AI Usage (minutes)</t>
  </si>
  <si>
    <t>Minutes per client</t>
  </si>
  <si>
    <t>Zapier Tasks (per workflow run)</t>
  </si>
  <si>
    <t>Each Zap step consumes tasks</t>
  </si>
  <si>
    <t>Onboarding Setup (your time/admin)</t>
  </si>
  <si>
    <t>Consider charging a setup fee to cover this</t>
  </si>
  <si>
    <t>Developer FTE</t>
  </si>
  <si>
    <t>Claude — Email</t>
  </si>
  <si>
    <t>Haiku triage + Sonnet drafting; est. $20-30/mo at 1,000 emails</t>
  </si>
  <si>
    <t>Claude — Voice</t>
  </si>
  <si>
    <t>Haiku with prompt caching; est. $8-12/mo at 300 calls</t>
  </si>
  <si>
    <t>Supabase (shared)</t>
  </si>
  <si>
    <t>Fixed floor — amortizes across clients as you add more</t>
  </si>
  <si>
    <t>Railway — voice backend</t>
  </si>
  <si>
    <t>Per project; amortizes if voice backend is multi-tenant</t>
  </si>
  <si>
    <t>Est. Total (1 client, sample volume)</t>
  </si>
  <si>
    <t>~$265-330/mo at 1,000 emails + 300 calls; floor dominates at low volume</t>
  </si>
  <si>
    <t>LEGACY EMAIL / PHONE / COMBO PRICING — HISTORICAL ONLY</t>
  </si>
  <si>
    <t>EMAIL PRODUCT</t>
  </si>
  <si>
    <t>Monthly Price</t>
  </si>
  <si>
    <t>Setup Fee</t>
  </si>
  <si>
    <t>AI Emails Included</t>
  </si>
  <si>
    <t>Platform Maintenance</t>
  </si>
  <si>
    <t>Users</t>
  </si>
  <si>
    <t>Shared Inbox</t>
  </si>
  <si>
    <t>Knowledge Base</t>
  </si>
  <si>
    <t>Email Integrations</t>
  </si>
  <si>
    <t>CRM Integrations</t>
  </si>
  <si>
    <t>Reporting</t>
  </si>
  <si>
    <t>Priority Support</t>
  </si>
  <si>
    <t>Target Customer</t>
  </si>
  <si>
    <t>2 Hours</t>
  </si>
  <si>
    <t>Gmail</t>
  </si>
  <si>
    <t>Small businesses starting with AI</t>
  </si>
  <si>
    <t>4 Hours</t>
  </si>
  <si>
    <t>Gmail + Outlook</t>
  </si>
  <si>
    <t>Optional</t>
  </si>
  <si>
    <t>Growing businesses with multiple employees</t>
  </si>
  <si>
    <t>8 Hours</t>
  </si>
  <si>
    <t>All Supported</t>
  </si>
  <si>
    <t>Advanced Analytics</t>
  </si>
  <si>
    <t>Established businesses with multiple departments</t>
  </si>
  <si>
    <t>Dedicated SLA</t>
  </si>
  <si>
    <t>Unlimited</t>
  </si>
  <si>
    <t>Dedicated</t>
  </si>
  <si>
    <t>Large organizations</t>
  </si>
  <si>
    <t>PHONE PRODUCT</t>
  </si>
  <si>
    <t>AI Minutes Included</t>
  </si>
  <si>
    <t>Phone Numbers Included</t>
  </si>
  <si>
    <t>Business Hours</t>
  </si>
  <si>
    <t>After Hours</t>
  </si>
  <si>
    <t>Call Transfers</t>
  </si>
  <si>
    <t>Appointment Booking</t>
  </si>
  <si>
    <t>Call Summaries</t>
  </si>
  <si>
    <t>SMS Follow-Up</t>
  </si>
  <si>
    <t>Small businesses</t>
  </si>
  <si>
    <t>Growing companies</t>
  </si>
  <si>
    <t>Advanced Routing</t>
  </si>
  <si>
    <t>High call volume businesses</t>
  </si>
  <si>
    <t>COMBO PLANS</t>
  </si>
  <si>
    <t>Normal Value</t>
  </si>
  <si>
    <t>Monthly Savings</t>
  </si>
  <si>
    <t>Emails Included</t>
  </si>
  <si>
    <t>Call Minutes Included</t>
  </si>
  <si>
    <t>Best For</t>
  </si>
  <si>
    <t>Starter Bundle</t>
  </si>
  <si>
    <t>Small businesses wanting both email and phone</t>
  </si>
  <si>
    <t>Growth Bundle</t>
  </si>
  <si>
    <t>Pro Bundle</t>
  </si>
  <si>
    <t>Larger operations</t>
  </si>
  <si>
    <t>Enterprise Bundle</t>
  </si>
  <si>
    <t>Enterprise organizations</t>
  </si>
  <si>
    <t>EMAIL ADD-ONS</t>
  </si>
  <si>
    <t>Add-On</t>
  </si>
  <si>
    <t>Type</t>
  </si>
  <si>
    <t>Additional User</t>
  </si>
  <si>
    <t>Recurring (Monthly)</t>
  </si>
  <si>
    <t>Per additional employee</t>
  </si>
  <si>
    <t>Additional Shared Inbox</t>
  </si>
  <si>
    <t>Per inbox</t>
  </si>
  <si>
    <t>Additional 100 AI Emails</t>
  </si>
  <si>
    <t>Automatically billed when purchased</t>
  </si>
  <si>
    <t>Additional 500 AI Emails</t>
  </si>
  <si>
    <t>Discounted bulk option</t>
  </si>
  <si>
    <t>Knowledge Base Expansion</t>
  </si>
  <si>
    <t>One-Time</t>
  </si>
  <si>
    <t>Additional AI training and documentation</t>
  </si>
  <si>
    <t>Custom AI Prompt Optimization</t>
  </si>
  <si>
    <t>Business-specific prompt engineering</t>
  </si>
  <si>
    <t>Custom Workflow Automation</t>
  </si>
  <si>
    <t>New automation workflow</t>
  </si>
  <si>
    <t>Additional Integration</t>
  </si>
  <si>
    <t>Per supported integration</t>
  </si>
  <si>
    <t>Faster response times</t>
  </si>
  <si>
    <t>PHONE ADD-ONS</t>
  </si>
  <si>
    <t>Additional Phone Number</t>
  </si>
  <si>
    <t>Per phone number</t>
  </si>
  <si>
    <t>Additional 100 Minutes</t>
  </si>
  <si>
    <t>Additional AI call minutes</t>
  </si>
  <si>
    <t>Additional 500 Minutes</t>
  </si>
  <si>
    <t>SMS Package</t>
  </si>
  <si>
    <t>Additional outbound messaging</t>
  </si>
  <si>
    <t>Custom Call Flow</t>
  </si>
  <si>
    <t>Custom routing logic</t>
  </si>
  <si>
    <t>Voice Training</t>
  </si>
  <si>
    <t>Custom business terminology</t>
  </si>
  <si>
    <t>Additional Department</t>
  </si>
  <si>
    <t>Separate routing tree</t>
  </si>
  <si>
    <t>Call Recording Storage</t>
  </si>
  <si>
    <t>Extended retention</t>
  </si>
  <si>
    <t>COMBO ADD-ONS</t>
  </si>
  <si>
    <t>Email + Phone Additional User</t>
  </si>
  <si>
    <t>Access to both systems</t>
  </si>
  <si>
    <t>Additional AI Workspace</t>
  </si>
  <si>
    <t>New department/business unit</t>
  </si>
  <si>
    <t>Custom AI Agent</t>
  </si>
  <si>
    <t>Specialized AI assistant</t>
  </si>
  <si>
    <t>Quarterly AI Optimization Review</t>
  </si>
  <si>
    <t>Quarterly</t>
  </si>
  <si>
    <t>Business optimization session</t>
  </si>
  <si>
    <t>White Glove Onboarding</t>
  </si>
  <si>
    <t>Hands-on implementation and training</t>
  </si>
  <si>
    <t>Data Migration</t>
  </si>
  <si>
    <t>Quoted based on complexity</t>
  </si>
  <si>
    <t>API Integration</t>
  </si>
  <si>
    <t>Quoted based on development effort</t>
  </si>
  <si>
    <t>Overage Pricing</t>
  </si>
  <si>
    <t>Emails</t>
  </si>
  <si>
    <t>Plan Limit</t>
  </si>
  <si>
    <t>Per Additional 100 Emails</t>
  </si>
  <si>
    <t>Per Additional 100 Minutes</t>
  </si>
  <si>
    <t>Plan Hours</t>
  </si>
  <si>
    <t>Per Additional Hour</t>
  </si>
  <si>
    <t>Custom Development</t>
  </si>
  <si>
    <t>N/A</t>
  </si>
  <si>
    <t>Per Hour</t>
  </si>
  <si>
    <t>Emergency Support</t>
  </si>
  <si>
    <t>Platform Maintenance Definition</t>
  </si>
  <si>
    <t>Included Monthly Maintenance</t>
  </si>
  <si>
    <t>AI prompt optimization</t>
  </si>
  <si>
    <t>Workflow optimization</t>
  </si>
  <si>
    <t>API maintenance</t>
  </si>
  <si>
    <t>Performance optimization</t>
  </si>
  <si>
    <t>Security updates</t>
  </si>
  <si>
    <t>Routine software updates</t>
  </si>
  <si>
    <t>Database monitoring</t>
  </si>
  <si>
    <t>Email routing adjustments</t>
  </si>
  <si>
    <t>Potential Future Add-Ons (Roadmap)</t>
  </si>
  <si>
    <t>Feature</t>
  </si>
  <si>
    <t>SMS AI Agent</t>
  </si>
  <si>
    <t>Future</t>
  </si>
  <si>
    <t>Website Chat Widget</t>
  </si>
  <si>
    <t>WhatsApp Integration</t>
  </si>
  <si>
    <t>Microsoft Teams Integration</t>
  </si>
  <si>
    <t>Slack Integration</t>
  </si>
  <si>
    <t>CRM Dashboard</t>
  </si>
  <si>
    <t>Custom Analytics Dashboard</t>
  </si>
  <si>
    <t>Multi-Language AI</t>
  </si>
  <si>
    <t>Internal Employee AI Assistant</t>
  </si>
  <si>
    <t>AI Sales Agent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</si>
</sst>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$#,##0.00;[Red]($#,##0.00);-"/>
    <numFmt numFmtId="165" formatCode="$#,##0;[Red]($#,##0);-"/>
    <numFmt numFmtId="166" formatCode="#,##0.0;[Red](#,##0.0);-"/>
    <numFmt numFmtId="167" formatCode="0.0%;[Red](0.0%);-"/>
    <numFmt numFmtId="168" formatCode="#,##0;[Red](#,##0);-"/>
    <numFmt numFmtId="169" formatCode="$0.000"/>
    <numFmt numFmtId="170" formatCode="$0.00"/>
    <numFmt numFmtId="171" formatCode="0.0x"/>
    <numFmt numFmtId="172" formatCode="0.0"/>
    <numFmt numFmtId="173" formatCode="$0.0000"/>
    <numFmt numFmtId="174" formatCode="yyyy-mm-dd"/>
  </numFmts>
  <fonts count="13">
    <font>
      <sz val="11.0"/>
      <color rgb="FF000000"/>
      <name val="Carlito"/>
      <scheme val="minor"/>
    </font>
    <font>
      <b/>
      <sz val="18.0"/>
      <color rgb="FFFFFFFF"/>
      <name val="Play"/>
    </font>
    <font>
      <i/>
      <sz val="10.0"/>
      <color rgb="FF4B5563"/>
      <name val="Aptos"/>
    </font>
    <font>
      <sz val="10.0"/>
      <color theme="1"/>
      <name val="Aptos"/>
    </font>
    <font>
      <b/>
      <sz val="10.0"/>
      <color rgb="FFFFFFFF"/>
      <name val="Aptos"/>
    </font>
    <font>
      <b/>
      <sz val="10.0"/>
      <color rgb="FF111827"/>
      <name val="Aptos"/>
    </font>
    <font>
      <sz val="10.0"/>
      <color rgb="FF2563EB"/>
      <name val="Aptos"/>
    </font>
    <font>
      <sz val="10.0"/>
      <color rgb="FF008000"/>
      <name val="Aptos"/>
    </font>
    <font>
      <b/>
      <sz val="10.0"/>
      <color theme="1"/>
      <name val="Aptos"/>
    </font>
    <font>
      <sz val="10.0"/>
      <color rgb="FF111827"/>
      <name val="Aptos"/>
    </font>
    <font>
      <b/>
      <sz val="10.0"/>
      <color rgb="FF102A43"/>
      <name val="Aptos"/>
    </font>
    <font>
      <sz val="10.0"/>
      <color rgb="FF4B5563"/>
      <name val="Aptos"/>
    </font>
    <font>
      <b/>
      <sz val="10.0"/>
      <color rgb="FF4B5563"/>
      <name val="Aptos"/>
    </font>
  </fonts>
  <fills count="9">
    <fill>
      <patternFill patternType="none"/>
    </fill>
    <fill>
      <patternFill patternType="lightGray"/>
    </fill>
    <fill>
      <patternFill patternType="solid">
        <fgColor rgb="FF102A43"/>
        <bgColor rgb="FF102A43"/>
      </patternFill>
    </fill>
    <fill>
      <patternFill patternType="solid">
        <fgColor rgb="FFE8F1FB"/>
        <bgColor rgb="FFE8F1FB"/>
      </patternFill>
    </fill>
    <fill>
      <patternFill patternType="solid">
        <fgColor rgb="FF0F766E"/>
        <bgColor rgb="FF0F766E"/>
      </patternFill>
    </fill>
    <fill>
      <patternFill patternType="solid">
        <fgColor rgb="FFF3F4F6"/>
        <bgColor rgb="FFF3F4F6"/>
      </patternFill>
    </fill>
    <fill>
      <patternFill patternType="solid">
        <fgColor rgb="FFFFFFFF"/>
        <bgColor rgb="FFFFFFFF"/>
      </patternFill>
    </fill>
    <fill>
      <patternFill patternType="solid">
        <fgColor rgb="FFD9F0EE"/>
        <bgColor rgb="FFD9F0EE"/>
      </patternFill>
    </fill>
    <fill>
      <patternFill patternType="solid">
        <fgColor rgb="FFFFF2CC"/>
        <bgColor rgb="FFFFF2CC"/>
      </patternFill>
    </fill>
  </fills>
  <borders count="7">
    <border/>
    <border>
      <bottom style="medium">
        <color rgb="FF102A43"/>
      </bottom>
    </border>
    <border>
      <top style="double">
        <color rgb="FF102A43"/>
      </top>
    </border>
    <border>
      <left style="thin">
        <color rgb="FF0F766E"/>
      </left>
      <top style="thin">
        <color rgb="FF0F766E"/>
      </top>
    </border>
    <border>
      <right style="thin">
        <color rgb="FF0F766E"/>
      </right>
      <top style="thin">
        <color rgb="FF0F766E"/>
      </top>
    </border>
    <border>
      <left style="thin">
        <color rgb="FF0F766E"/>
      </left>
      <bottom style="thin">
        <color rgb="FF0F766E"/>
      </bottom>
    </border>
    <border>
      <right style="thin">
        <color rgb="FF0F766E"/>
      </right>
      <bottom style="thin">
        <color rgb="FF0F766E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2" numFmtId="0" xfId="0" applyAlignment="1" applyFill="1" applyFont="1">
      <alignment shrinkToFit="0" vertical="center" wrapText="1"/>
    </xf>
    <xf borderId="0" fillId="0" fontId="3" numFmtId="0" xfId="0" applyAlignment="1" applyFont="1">
      <alignment vertical="center"/>
    </xf>
    <xf borderId="0" fillId="4" fontId="4" numFmtId="0" xfId="0" applyAlignment="1" applyFill="1" applyFont="1">
      <alignment vertical="center"/>
    </xf>
    <xf borderId="1" fillId="5" fontId="5" numFmtId="0" xfId="0" applyAlignment="1" applyBorder="1" applyFill="1" applyFont="1">
      <alignment shrinkToFit="0" vertical="center" wrapText="1"/>
    </xf>
    <xf borderId="0" fillId="6" fontId="6" numFmtId="0" xfId="0" applyAlignment="1" applyFill="1" applyFont="1">
      <alignment vertical="center"/>
    </xf>
    <xf borderId="0" fillId="0" fontId="7" numFmtId="164" xfId="0" applyAlignment="1" applyFont="1" applyNumberFormat="1">
      <alignment vertical="center"/>
    </xf>
    <xf borderId="0" fillId="6" fontId="6" numFmtId="165" xfId="0" applyAlignment="1" applyFont="1" applyNumberFormat="1">
      <alignment vertical="center"/>
    </xf>
    <xf borderId="0" fillId="6" fontId="6" numFmtId="166" xfId="0" applyAlignment="1" applyFont="1" applyNumberFormat="1">
      <alignment vertical="center"/>
    </xf>
    <xf borderId="0" fillId="0" fontId="7" numFmtId="165" xfId="0" applyAlignment="1" applyFont="1" applyNumberFormat="1">
      <alignment vertical="center"/>
    </xf>
    <xf borderId="0" fillId="0" fontId="7" numFmtId="166" xfId="0" applyAlignment="1" applyFont="1" applyNumberFormat="1">
      <alignment vertical="center"/>
    </xf>
    <xf borderId="0" fillId="0" fontId="3" numFmtId="164" xfId="0" applyAlignment="1" applyFont="1" applyNumberFormat="1">
      <alignment vertical="center"/>
    </xf>
    <xf borderId="2" fillId="0" fontId="8" numFmtId="0" xfId="0" applyAlignment="1" applyBorder="1" applyFont="1">
      <alignment vertical="center"/>
    </xf>
    <xf borderId="2" fillId="0" fontId="8" numFmtId="164" xfId="0" applyAlignment="1" applyBorder="1" applyFont="1" applyNumberFormat="1">
      <alignment vertical="center"/>
    </xf>
    <xf borderId="0" fillId="0" fontId="7" numFmtId="167" xfId="0" applyAlignment="1" applyFont="1" applyNumberFormat="1">
      <alignment vertical="center"/>
    </xf>
    <xf borderId="2" fillId="0" fontId="5" numFmtId="164" xfId="0" applyAlignment="1" applyBorder="1" applyFont="1" applyNumberFormat="1">
      <alignment vertical="center"/>
    </xf>
    <xf borderId="0" fillId="6" fontId="6" numFmtId="167" xfId="0" applyAlignment="1" applyFont="1" applyNumberFormat="1">
      <alignment vertical="center"/>
    </xf>
    <xf borderId="0" fillId="0" fontId="2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5" fontId="8" numFmtId="0" xfId="0" applyAlignment="1" applyFont="1">
      <alignment vertical="center"/>
    </xf>
    <xf borderId="0" fillId="0" fontId="9" numFmtId="167" xfId="0" applyAlignment="1" applyFont="1" applyNumberFormat="1">
      <alignment vertical="center"/>
    </xf>
    <xf borderId="3" fillId="7" fontId="3" numFmtId="0" xfId="0" applyAlignment="1" applyBorder="1" applyFill="1" applyFont="1">
      <alignment shrinkToFit="0" vertical="center" wrapText="1"/>
    </xf>
    <xf borderId="4" fillId="7" fontId="10" numFmtId="165" xfId="0" applyAlignment="1" applyBorder="1" applyFont="1" applyNumberFormat="1">
      <alignment shrinkToFit="0" vertical="center" wrapText="1"/>
    </xf>
    <xf borderId="3" fillId="7" fontId="3" numFmtId="165" xfId="0" applyAlignment="1" applyBorder="1" applyFont="1" applyNumberFormat="1">
      <alignment shrinkToFit="0" vertical="center" wrapText="1"/>
    </xf>
    <xf borderId="4" fillId="7" fontId="10" numFmtId="168" xfId="0" applyAlignment="1" applyBorder="1" applyFont="1" applyNumberFormat="1">
      <alignment shrinkToFit="0" vertical="center" wrapText="1"/>
    </xf>
    <xf borderId="5" fillId="7" fontId="3" numFmtId="0" xfId="0" applyAlignment="1" applyBorder="1" applyFont="1">
      <alignment shrinkToFit="0" vertical="center" wrapText="1"/>
    </xf>
    <xf borderId="6" fillId="7" fontId="3" numFmtId="0" xfId="0" applyAlignment="1" applyBorder="1" applyFont="1">
      <alignment shrinkToFit="0" vertical="center" wrapText="1"/>
    </xf>
    <xf borderId="0" fillId="8" fontId="6" numFmtId="166" xfId="0" applyAlignment="1" applyFill="1" applyFont="1" applyNumberForma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165" xfId="0" applyAlignment="1" applyFont="1" applyNumberFormat="1">
      <alignment vertical="center"/>
    </xf>
    <xf borderId="0" fillId="6" fontId="6" numFmtId="164" xfId="0" applyAlignment="1" applyFont="1" applyNumberFormat="1">
      <alignment shrinkToFit="0" vertical="center" wrapText="1"/>
    </xf>
    <xf borderId="0" fillId="8" fontId="6" numFmtId="167" xfId="0" applyAlignment="1" applyFont="1" applyNumberFormat="1">
      <alignment vertical="center"/>
    </xf>
    <xf borderId="0" fillId="6" fontId="6" numFmtId="168" xfId="0" applyAlignment="1" applyFont="1" applyNumberFormat="1">
      <alignment vertical="center"/>
    </xf>
    <xf borderId="0" fillId="6" fontId="6" numFmtId="169" xfId="0" applyAlignment="1" applyFont="1" applyNumberFormat="1">
      <alignment vertical="center"/>
    </xf>
    <xf borderId="0" fillId="2" fontId="4" numFmtId="0" xfId="0" applyAlignment="1" applyFont="1">
      <alignment horizontal="center" vertical="center"/>
    </xf>
    <xf borderId="0" fillId="6" fontId="6" numFmtId="164" xfId="0" applyAlignment="1" applyFont="1" applyNumberFormat="1">
      <alignment vertical="center"/>
    </xf>
    <xf borderId="0" fillId="0" fontId="3" numFmtId="167" xfId="0" applyAlignment="1" applyFont="1" applyNumberFormat="1">
      <alignment vertical="center"/>
    </xf>
    <xf borderId="0" fillId="0" fontId="7" numFmtId="0" xfId="0" applyAlignment="1" applyFont="1">
      <alignment shrinkToFit="0" vertical="center" wrapText="1"/>
    </xf>
    <xf borderId="0" fillId="0" fontId="7" numFmtId="165" xfId="0" applyAlignment="1" applyFont="1" applyNumberFormat="1">
      <alignment shrinkToFit="0" vertical="center" wrapText="1"/>
    </xf>
    <xf borderId="0" fillId="0" fontId="7" numFmtId="167" xfId="0" applyAlignment="1" applyFont="1" applyNumberFormat="1">
      <alignment shrinkToFit="0" vertical="center" wrapText="1"/>
    </xf>
    <xf borderId="0" fillId="0" fontId="3" numFmtId="166" xfId="0" applyAlignment="1" applyFont="1" applyNumberFormat="1">
      <alignment vertical="center"/>
    </xf>
    <xf borderId="0" fillId="0" fontId="3" numFmtId="2" xfId="0" applyAlignment="1" applyFont="1" applyNumberFormat="1">
      <alignment vertical="center"/>
    </xf>
    <xf borderId="0" fillId="0" fontId="3" numFmtId="168" xfId="0" applyAlignment="1" applyFont="1" applyNumberFormat="1">
      <alignment vertical="center"/>
    </xf>
    <xf borderId="0" fillId="0" fontId="7" numFmtId="0" xfId="0" applyAlignment="1" applyFont="1">
      <alignment vertical="center"/>
    </xf>
    <xf borderId="0" fillId="0" fontId="7" numFmtId="168" xfId="0" applyAlignment="1" applyFont="1" applyNumberFormat="1">
      <alignment vertical="center"/>
    </xf>
    <xf borderId="0" fillId="0" fontId="7" numFmtId="170" xfId="0" applyAlignment="1" applyFont="1" applyNumberFormat="1">
      <alignment vertical="center"/>
    </xf>
    <xf borderId="0" fillId="0" fontId="7" numFmtId="2" xfId="0" applyAlignment="1" applyFont="1" applyNumberFormat="1">
      <alignment vertical="center"/>
    </xf>
    <xf borderId="0" fillId="0" fontId="7" numFmtId="171" xfId="0" applyAlignment="1" applyFont="1" applyNumberFormat="1">
      <alignment vertical="center"/>
    </xf>
    <xf borderId="0" fillId="0" fontId="7" numFmtId="172" xfId="0" applyAlignment="1" applyFont="1" applyNumberFormat="1">
      <alignment vertical="center"/>
    </xf>
    <xf borderId="1" fillId="5" fontId="5" numFmtId="167" xfId="0" applyAlignment="1" applyBorder="1" applyFont="1" applyNumberFormat="1">
      <alignment shrinkToFit="0" vertical="center" wrapText="1"/>
    </xf>
    <xf borderId="0" fillId="0" fontId="3" numFmtId="173" xfId="0" applyAlignment="1" applyFont="1" applyNumberFormat="1">
      <alignment vertical="center"/>
    </xf>
    <xf borderId="0" fillId="0" fontId="3" numFmtId="174" xfId="0" applyAlignment="1" applyFont="1" applyNumberFormat="1">
      <alignment vertical="center"/>
    </xf>
    <xf borderId="0" fillId="0" fontId="11" numFmtId="0" xfId="0" applyAlignment="1" applyFont="1">
      <alignment vertical="center"/>
    </xf>
    <xf borderId="0" fillId="4" fontId="12" numFmtId="0" xfId="0" applyAlignment="1" applyFont="1">
      <alignment vertical="center"/>
    </xf>
    <xf borderId="1" fillId="5" fontId="12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b/>
        <color rgb="FF92400E"/>
      </font>
      <fill>
        <patternFill patternType="solid">
          <fgColor rgb="FFFFF2CC"/>
          <bgColor rgb="FFFFF2CC"/>
        </patternFill>
      </fill>
      <border/>
    </dxf>
    <dxf>
      <font>
        <b/>
        <color rgb="FFB91C1C"/>
      </font>
      <fill>
        <patternFill patternType="solid">
          <fgColor rgb="FFFEE2E2"/>
          <bgColor rgb="FFFEE2E2"/>
        </patternFill>
      </fill>
      <border/>
    </dxf>
    <dxf>
      <font>
        <color rgb="FFB91C1C"/>
      </font>
      <fill>
        <patternFill patternType="solid">
          <fgColor rgb="FFFEE2E2"/>
          <bgColor rgb="FFFEE2E2"/>
        </patternFill>
      </fill>
      <border/>
    </dxf>
    <dxf>
      <font>
        <color rgb="FF166534"/>
      </font>
      <fill>
        <patternFill patternType="solid">
          <fgColor rgb="FFDCFCE7"/>
          <bgColor rgb="FFDCFCE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Profit by Starter Client Count ($)</a:t>
            </a:r>
          </a:p>
        </c:rich>
      </c:tx>
      <c:overlay val="0"/>
    </c:title>
    <c:plotArea>
      <c:layout/>
      <c:lineChart>
        <c:ser>
          <c:idx val="0"/>
          <c:order val="0"/>
          <c:tx>
            <c:v>Cash profit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'Executive Summary'!$H$14:$H$23</c:f>
            </c:strRef>
          </c:cat>
          <c:val>
            <c:numRef>
              <c:f>'Executive Summary'!$I$14:$I$23</c:f>
              <c:numCache/>
            </c:numRef>
          </c:val>
          <c:smooth val="0"/>
        </c:ser>
        <c:ser>
          <c:idx val="1"/>
          <c:order val="1"/>
          <c:tx>
            <c:v>Fully loaded profit</c:v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'Executive Summary'!$H$14:$H$23</c:f>
            </c:strRef>
          </c:cat>
          <c:val>
            <c:numRef>
              <c:f>'Executive Summary'!$J$14:$J$23</c:f>
              <c:numCache/>
            </c:numRef>
          </c:val>
          <c:smooth val="0"/>
        </c:ser>
        <c:axId val="1416460101"/>
        <c:axId val="1289724283"/>
      </c:lineChart>
      <c:catAx>
        <c:axId val="1416460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9724283"/>
      </c:catAx>
      <c:valAx>
        <c:axId val="12897242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646010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24</xdr:row>
      <xdr:rowOff>0</xdr:rowOff>
    </xdr:from>
    <xdr:ext cx="6858000" cy="32004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c={0B1937D9-4638-C4B2-C9F9-578CE36446CC}" id="{2a40607f-971f-4d1e-9e6c-311ac632e83e}" providerId="google-sheets"/>
  <x18tc:person displayName="tc={12FFBA00-1864-FD4E-7703-3B326FA403BF}" id="{0ebe63fc-099a-4d87-9bea-6aa831dc3226}" providerId="google-sheets"/>
  <x18tc:person displayName="tc={1951D5FF-EF60-CFDE-A0AC-99D0CAA65C6A}" id="{676fed3a-a1c1-40ed-b462-4d40a3c12a08}" providerId="google-sheets"/>
  <x18tc:person displayName="tc={90EC8298-83B5-3309-0F8F-B6D8BB2ED2A4}" id="{ce388ad7-4db2-46bb-a75b-3245ee651ce3}" providerId="google-sheets"/>
  <x18tc:person displayName="tc={59E5CD36-42A1-40CA-F3C2-D39C41CB647C}" id="{1538226b-aa3f-4fb3-964f-93fd6c614cbd}" providerId="google-sheets"/>
  <x18tc:person displayName="tc={E3E36A50-DBA8-E812-A222-31A2D2C8A9D6}" id="{4fd92bc5-5f94-4517-ad87-1fc7ceb49873}" providerId="google-sheets"/>
  <x18tc:person displayName="tc={802B34F2-3A9D-C23B-95F4-6FD46FDB8449}" id="{d610fb8f-ebd9-40db-abfa-36f8d44557a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49" dT="2026-07-29T06:13:14.00" personId="{ce388ad7-4db2-46bb-a75b-3245ee651ce3}" id="{61ab28ce-7352-4522-a7b6-1c1c7b6d8574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Source: https://zapier.com/pricing and uploaded source workbook. Annual billing equivalent.</x18tc:text>
    <x18tc:extLst>
      <ext uri="{F7C98A9C-CBB3-438F-8F68-D28B6AF4A901}">
        <xltc2:checksum/>
        <xltc2:hyperlink startIndex="189" length="46" url="https://go.microsoft.com/fwlink/?linkid=870924"/>
        <xltc2:hyperlink startIndex="258" length="26" url="https://zapier.com/pricing"/>
      </ext>
    </x18tc:extLst>
  </x18tc:threadedComment>
  <x18tc:threadedComment ref="B45" dT="2026-07-29T06:13:14.00" personId="{676fed3a-a1c1-40ed-b462-4d40a3c12a08}" id="{63db1f43-03ea-4f3d-9efd-62120a66491d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Source: https://www.anthropic.com/claude/haiku | Claude Haiku 4.5 input pricing, accessed 2026-07-28.</x18tc:text>
    <x18tc:extLst>
      <ext uri="{F7C98A9C-CBB3-438F-8F68-D28B6AF4A901}">
        <xltc2:checksum/>
        <xltc2:hyperlink startIndex="189" length="46" url="https://go.microsoft.com/fwlink/?linkid=870924"/>
        <xltc2:hyperlink startIndex="258" length="38" url="https://www.anthropic.com/claude/haiku"/>
      </ext>
    </x18tc:extLst>
  </x18tc:threadedComment>
  <x18tc:threadedComment ref="B54" dT="2026-07-29T06:13:14.00" personId="{d610fb8f-ebd9-40db-abfa-36f8d44557ad}" id="{fe0cfe06-3da1-4b62-90c6-961a41cdaa2c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Source: https://docs.railway.com/pricing | Hobby minimum, accessed 2026-07-28.</x18tc:text>
    <x18tc:extLst>
      <ext uri="{F7C98A9C-CBB3-438F-8F68-D28B6AF4A901}">
        <xltc2:checksum/>
        <xltc2:hyperlink startIndex="189" length="46" url="https://go.microsoft.com/fwlink/?linkid=870924"/>
        <xltc2:hyperlink startIndex="258" length="32" url="https://docs.railway.com/pricing"/>
      </ext>
    </x18tc:extLst>
  </x18tc:threadedComment>
  <x18tc:threadedComment ref="B56" dT="2026-07-29T06:13:14.00" personId="{4fd92bc5-5f94-4517-ad87-1fc7ceb49873}" id="{1ebd911c-b092-4cfa-a284-b03b82338623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Source: https://supabase.com/pricing | Pro plan, accessed 2026-07-28.</x18tc:text>
    <x18tc:extLst>
      <ext uri="{F7C98A9C-CBB3-438F-8F68-D28B6AF4A901}">
        <xltc2:checksum/>
        <xltc2:hyperlink startIndex="189" length="46" url="https://go.microsoft.com/fwlink/?linkid=870924"/>
        <xltc2:hyperlink startIndex="258" length="28" url="https://supabase.com/pricing"/>
      </ext>
    </x18tc:extLst>
  </x18tc:threadedComment>
  <x18tc:threadedComment ref="B72" dT="2026-07-29T06:13:14.00" personId="{0ebe63fc-099a-4d87-9bea-6aa831dc3226}" id="{a923bcf5-d72e-4240-af27-56a5a3485566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Source: https://elevenlabs.io/pricing/agents | ElevenAgents plans and included minutes, accessed 2026-07-28.</x18tc:text>
    <x18tc:extLst>
      <ext uri="{F7C98A9C-CBB3-438F-8F68-D28B6AF4A901}">
        <xltc2:checksum/>
        <xltc2:hyperlink startIndex="189" length="46" url="https://go.microsoft.com/fwlink/?linkid=870924"/>
        <xltc2:hyperlink startIndex="258" length="36" url="https://elevenlabs.io/pricing/agents"/>
      </ext>
    </x18tc:extLst>
  </x18tc:threadedComment>
  <x18tc:threadedComment ref="B42" dT="2026-07-29T06:13:14.00" personId="{1538226b-aa3f-4fb3-964f-93fd6c614cbd}" id="{4bcfbcbd-4e6b-4ed7-84f4-85d7d7749a60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Source: https://www.twilio.com/en-us/voice/pricing/us | US local phone number, accessed 2026-07-28.</x18tc:text>
    <x18tc:extLst>
      <ext uri="{F7C98A9C-CBB3-438F-8F68-D28B6AF4A901}">
        <xltc2:checksum/>
        <xltc2:hyperlink startIndex="189" length="46" url="https://go.microsoft.com/fwlink/?linkid=870924"/>
        <xltc2:hyperlink startIndex="258" length="45" url="https://www.twilio.com/en-us/voice/pricing/us"/>
      </ext>
    </x18tc:extLst>
  </x18tc:threadedComment>
  <x18tc:threadedComment ref="B41" dT="2026-07-29T06:13:14.00" personId="{2a40607f-971f-4d1e-9e6c-311ac632e83e}" id="{befb87c0-7783-45b7-a936-1b0d559e18a1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Source: https://www.twilio.com/en-us/voice/pricing/us | US inbound local voice, accessed 2026-07-28.</x18tc:text>
    <x18tc:extLst>
      <ext uri="{F7C98A9C-CBB3-438F-8F68-D28B6AF4A901}">
        <xltc2:checksum/>
        <xltc2:hyperlink startIndex="189" length="46" url="https://go.microsoft.com/fwlink/?linkid=870924"/>
        <xltc2:hyperlink startIndex="258" length="45" url="https://www.twilio.com/en-us/voice/pricing/us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0"/>
    <col customWidth="1" min="2" max="2" width="28.0"/>
    <col customWidth="1" min="3" max="3" width="38.0"/>
    <col customWidth="1" min="4" max="4" width="18.0"/>
    <col customWidth="1" min="5" max="5" width="14.0"/>
    <col customWidth="1" min="6" max="6" width="16.0"/>
    <col customWidth="1" min="7" max="7" width="19.0"/>
    <col customWidth="1" min="8" max="9" width="18.0"/>
    <col customWidth="1" min="10" max="10" width="19.0"/>
    <col customWidth="1" min="11" max="11" width="17.0"/>
    <col customWidth="1" min="12" max="12" width="18.0"/>
    <col customWidth="1" min="13" max="26" width="8.63"/>
  </cols>
  <sheetData>
    <row r="1" ht="30.0" customHeight="1">
      <c r="A1" s="1" t="s">
        <v>157</v>
      </c>
    </row>
    <row r="2" ht="33.75" customHeight="1">
      <c r="A2" s="2" t="s">
        <v>159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20" t="s">
        <v>160</v>
      </c>
      <c r="B4" s="20" t="str">
        <f>Checks!$B$3</f>
        <v>READY — INPUTS NEEDED</v>
      </c>
      <c r="C4" s="20"/>
      <c r="D4" s="20" t="s">
        <v>7</v>
      </c>
      <c r="E4" s="20" t="str">
        <f>Assumptions!$B$5</f>
        <v>Expected</v>
      </c>
      <c r="F4" s="20"/>
      <c r="G4" s="20" t="s">
        <v>162</v>
      </c>
      <c r="H4" s="20">
        <f>Assumptions!$E$5</f>
        <v>10</v>
      </c>
      <c r="I4" s="20"/>
      <c r="J4" s="20" t="s">
        <v>164</v>
      </c>
      <c r="K4" s="20">
        <f>COUNTIF(Checks!$F$7:$F$24,"NEEDS INPUT")+COUNTIF(Checks!$F$7:$F$24,"VERIFY")</f>
        <v>11</v>
      </c>
      <c r="L4" s="20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>
      <c r="A7" s="4" t="s">
        <v>167</v>
      </c>
    </row>
    <row r="8" ht="42.0" customHeight="1">
      <c r="A8" s="22" t="s">
        <v>170</v>
      </c>
      <c r="B8" s="23">
        <f>Assumptions!$B$11</f>
        <v>149</v>
      </c>
      <c r="C8" s="24" t="s">
        <v>188</v>
      </c>
      <c r="D8" s="23">
        <f>'Fixed Operating Costs'!$G$20</f>
        <v>49.99</v>
      </c>
      <c r="E8" s="24" t="s">
        <v>189</v>
      </c>
      <c r="F8" s="23">
        <f>'Profitability Forecast'!$P$8</f>
        <v>65.1575</v>
      </c>
      <c r="G8" s="24" t="s">
        <v>190</v>
      </c>
      <c r="H8" s="23">
        <f>'Scenario Analysis'!$I$9</f>
        <v>37.86</v>
      </c>
      <c r="I8" s="22" t="s">
        <v>192</v>
      </c>
      <c r="J8" s="25">
        <f>'Margins &amp; Unit Economics'!$K$6</f>
        <v>1</v>
      </c>
      <c r="K8" s="22" t="s">
        <v>202</v>
      </c>
      <c r="L8" s="23">
        <f>KPIs!$F$6</f>
        <v>1490</v>
      </c>
    </row>
    <row r="9" ht="42.0" customHeight="1">
      <c r="A9" s="26" t="s">
        <v>205</v>
      </c>
      <c r="B9" s="27"/>
      <c r="C9" s="26" t="s">
        <v>206</v>
      </c>
      <c r="D9" s="27"/>
      <c r="E9" s="26" t="s">
        <v>7</v>
      </c>
      <c r="F9" s="27"/>
      <c r="G9" s="26" t="s">
        <v>207</v>
      </c>
      <c r="H9" s="27"/>
      <c r="I9" s="26" t="s">
        <v>208</v>
      </c>
      <c r="J9" s="27"/>
      <c r="K9" s="26" t="s">
        <v>209</v>
      </c>
      <c r="L9" s="27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>
      <c r="A12" s="4" t="s">
        <v>213</v>
      </c>
      <c r="G12" s="3"/>
      <c r="H12" s="4" t="s">
        <v>214</v>
      </c>
    </row>
    <row r="13">
      <c r="A13" s="5" t="s">
        <v>215</v>
      </c>
      <c r="B13" s="5" t="s">
        <v>216</v>
      </c>
      <c r="C13" s="5" t="s">
        <v>217</v>
      </c>
      <c r="D13" s="5" t="s">
        <v>218</v>
      </c>
      <c r="E13" s="5" t="s">
        <v>219</v>
      </c>
      <c r="F13" s="5" t="s">
        <v>43</v>
      </c>
      <c r="G13" s="3"/>
      <c r="H13" s="5" t="s">
        <v>220</v>
      </c>
      <c r="I13" s="5" t="s">
        <v>222</v>
      </c>
      <c r="J13" s="5" t="s">
        <v>223</v>
      </c>
      <c r="K13" s="3"/>
      <c r="L13" s="3"/>
    </row>
    <row r="14" ht="37.5" customHeight="1">
      <c r="A14" s="29" t="s">
        <v>226</v>
      </c>
      <c r="B14" s="29" t="s">
        <v>227</v>
      </c>
      <c r="C14" s="29" t="s">
        <v>228</v>
      </c>
      <c r="D14" s="29" t="s">
        <v>177</v>
      </c>
      <c r="E14" s="29" t="s">
        <v>231</v>
      </c>
      <c r="F14" s="29" t="s">
        <v>235</v>
      </c>
      <c r="G14" s="3"/>
      <c r="H14" s="3">
        <f>'Profitability Forecast'!A8</f>
        <v>1</v>
      </c>
      <c r="I14" s="30">
        <f>'Profitability Forecast'!P8</f>
        <v>65.1575</v>
      </c>
      <c r="J14" s="30">
        <f>'Profitability Forecast'!Q8</f>
        <v>65.1575</v>
      </c>
      <c r="K14" s="3"/>
      <c r="L14" s="3"/>
    </row>
    <row r="15" ht="37.5" customHeight="1">
      <c r="A15" s="29" t="s">
        <v>254</v>
      </c>
      <c r="B15" s="29" t="s">
        <v>255</v>
      </c>
      <c r="C15" s="29" t="s">
        <v>256</v>
      </c>
      <c r="D15" s="29" t="s">
        <v>76</v>
      </c>
      <c r="E15" s="29" t="s">
        <v>259</v>
      </c>
      <c r="F15" s="29" t="s">
        <v>260</v>
      </c>
      <c r="G15" s="3"/>
      <c r="H15" s="3">
        <f>'Profitability Forecast'!A9</f>
        <v>2</v>
      </c>
      <c r="I15" s="30">
        <f>'Profitability Forecast'!P9</f>
        <v>183.055</v>
      </c>
      <c r="J15" s="30">
        <f>'Profitability Forecast'!Q9</f>
        <v>183.055</v>
      </c>
      <c r="K15" s="3"/>
      <c r="L15" s="3"/>
    </row>
    <row r="16" ht="37.5" customHeight="1">
      <c r="A16" s="29" t="s">
        <v>281</v>
      </c>
      <c r="B16" s="29" t="s">
        <v>284</v>
      </c>
      <c r="C16" s="29" t="s">
        <v>287</v>
      </c>
      <c r="D16" s="29" t="s">
        <v>289</v>
      </c>
      <c r="E16" s="29" t="s">
        <v>290</v>
      </c>
      <c r="F16" s="29" t="s">
        <v>291</v>
      </c>
      <c r="G16" s="3"/>
      <c r="H16" s="3">
        <f>'Profitability Forecast'!A10</f>
        <v>3</v>
      </c>
      <c r="I16" s="30">
        <f>'Profitability Forecast'!P10</f>
        <v>300.1525</v>
      </c>
      <c r="J16" s="30">
        <f>'Profitability Forecast'!Q10</f>
        <v>300.1525</v>
      </c>
      <c r="K16" s="3"/>
      <c r="L16" s="3"/>
    </row>
    <row r="17" ht="37.5" customHeight="1">
      <c r="A17" s="29" t="s">
        <v>299</v>
      </c>
      <c r="B17" s="29" t="s">
        <v>317</v>
      </c>
      <c r="C17" s="29" t="s">
        <v>320</v>
      </c>
      <c r="D17" s="29" t="s">
        <v>76</v>
      </c>
      <c r="E17" s="29" t="s">
        <v>322</v>
      </c>
      <c r="F17" s="29" t="s">
        <v>323</v>
      </c>
      <c r="G17" s="3"/>
      <c r="H17" s="3">
        <f>'Profitability Forecast'!A11</f>
        <v>5</v>
      </c>
      <c r="I17" s="30">
        <f>'Profitability Forecast'!P11</f>
        <v>534.3475</v>
      </c>
      <c r="J17" s="30">
        <f>'Profitability Forecast'!Q11</f>
        <v>534.3475</v>
      </c>
      <c r="K17" s="3"/>
      <c r="L17" s="3"/>
    </row>
    <row r="18" ht="37.5" customHeight="1">
      <c r="A18" s="29" t="s">
        <v>339</v>
      </c>
      <c r="B18" s="29" t="s">
        <v>342</v>
      </c>
      <c r="C18" s="29" t="s">
        <v>343</v>
      </c>
      <c r="D18" s="29" t="s">
        <v>230</v>
      </c>
      <c r="E18" s="29" t="s">
        <v>347</v>
      </c>
      <c r="F18" s="29" t="s">
        <v>348</v>
      </c>
      <c r="G18" s="3"/>
      <c r="H18" s="3">
        <f>'Profitability Forecast'!A12</f>
        <v>10</v>
      </c>
      <c r="I18" s="30">
        <f>'Profitability Forecast'!P12</f>
        <v>1119.835</v>
      </c>
      <c r="J18" s="30">
        <f>'Profitability Forecast'!Q12</f>
        <v>1119.835</v>
      </c>
      <c r="K18" s="3"/>
      <c r="L18" s="3"/>
    </row>
    <row r="19">
      <c r="A19" s="3"/>
      <c r="B19" s="3"/>
      <c r="C19" s="3"/>
      <c r="D19" s="3"/>
      <c r="E19" s="3"/>
      <c r="F19" s="3"/>
      <c r="G19" s="3"/>
      <c r="H19" s="3">
        <f>'Profitability Forecast'!A13</f>
        <v>15</v>
      </c>
      <c r="I19" s="30">
        <f>'Profitability Forecast'!P13</f>
        <v>1705.3225</v>
      </c>
      <c r="J19" s="30">
        <f>'Profitability Forecast'!Q13</f>
        <v>1705.3225</v>
      </c>
      <c r="K19" s="3"/>
      <c r="L19" s="3"/>
    </row>
    <row r="20">
      <c r="A20" s="3"/>
      <c r="B20" s="3"/>
      <c r="C20" s="3"/>
      <c r="D20" s="3"/>
      <c r="E20" s="3"/>
      <c r="F20" s="3"/>
      <c r="G20" s="3"/>
      <c r="H20" s="3">
        <f>'Profitability Forecast'!A14</f>
        <v>20</v>
      </c>
      <c r="I20" s="30">
        <f>'Profitability Forecast'!P14</f>
        <v>2290.85</v>
      </c>
      <c r="J20" s="30">
        <f>'Profitability Forecast'!Q14</f>
        <v>2290.85</v>
      </c>
      <c r="K20" s="3"/>
      <c r="L20" s="3"/>
    </row>
    <row r="21" ht="15.75" customHeight="1">
      <c r="A21" s="3"/>
      <c r="B21" s="3"/>
      <c r="C21" s="3"/>
      <c r="D21" s="3"/>
      <c r="E21" s="3"/>
      <c r="F21" s="3"/>
      <c r="G21" s="3"/>
      <c r="H21" s="3">
        <f>'Profitability Forecast'!A15</f>
        <v>30</v>
      </c>
      <c r="I21" s="30">
        <f>'Profitability Forecast'!P15</f>
        <v>3461.825</v>
      </c>
      <c r="J21" s="30">
        <f>'Profitability Forecast'!Q15</f>
        <v>3461.825</v>
      </c>
      <c r="K21" s="3"/>
      <c r="L21" s="3"/>
    </row>
    <row r="22" ht="15.75" customHeight="1">
      <c r="A22" s="3"/>
      <c r="B22" s="3"/>
      <c r="C22" s="3"/>
      <c r="D22" s="3"/>
      <c r="E22" s="3"/>
      <c r="F22" s="3"/>
      <c r="G22" s="3"/>
      <c r="H22" s="3">
        <f>'Profitability Forecast'!A16</f>
        <v>50</v>
      </c>
      <c r="I22" s="30">
        <f>'Profitability Forecast'!P16</f>
        <v>5803.775</v>
      </c>
      <c r="J22" s="30">
        <f>'Profitability Forecast'!Q16</f>
        <v>5803.775</v>
      </c>
      <c r="K22" s="3"/>
      <c r="L22" s="3"/>
    </row>
    <row r="23" ht="15.75" customHeight="1">
      <c r="A23" s="3"/>
      <c r="B23" s="3"/>
      <c r="C23" s="3"/>
      <c r="D23" s="3"/>
      <c r="E23" s="3"/>
      <c r="F23" s="3"/>
      <c r="G23" s="3"/>
      <c r="H23" s="3">
        <f>'Profitability Forecast'!A17</f>
        <v>100</v>
      </c>
      <c r="I23" s="30">
        <f>'Profitability Forecast'!P17</f>
        <v>11658.65</v>
      </c>
      <c r="J23" s="30">
        <f>'Profitability Forecast'!Q17</f>
        <v>11658.65</v>
      </c>
      <c r="K23" s="3"/>
      <c r="L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ht="15.75" customHeight="1">
      <c r="A25" s="4" t="s">
        <v>436</v>
      </c>
      <c r="G25" s="3"/>
      <c r="H25" s="3"/>
      <c r="I25" s="3"/>
      <c r="J25" s="3"/>
      <c r="K25" s="3"/>
      <c r="L25" s="3"/>
    </row>
    <row r="26" ht="15.75" customHeight="1">
      <c r="A26" s="35" t="s">
        <v>442</v>
      </c>
      <c r="B26" s="3" t="s">
        <v>443</v>
      </c>
      <c r="G26" s="3"/>
      <c r="H26" s="3"/>
      <c r="I26" s="3"/>
      <c r="J26" s="3"/>
      <c r="K26" s="3"/>
      <c r="L26" s="3"/>
    </row>
    <row r="27" ht="15.75" customHeight="1">
      <c r="A27" s="35" t="s">
        <v>446</v>
      </c>
      <c r="B27" s="3" t="s">
        <v>447</v>
      </c>
      <c r="G27" s="3"/>
      <c r="H27" s="3"/>
      <c r="I27" s="3"/>
      <c r="J27" s="3"/>
      <c r="K27" s="3"/>
      <c r="L27" s="3"/>
    </row>
    <row r="28" ht="15.75" customHeight="1">
      <c r="A28" s="35" t="s">
        <v>450</v>
      </c>
      <c r="B28" s="3" t="s">
        <v>452</v>
      </c>
      <c r="G28" s="3"/>
      <c r="H28" s="3"/>
      <c r="I28" s="3"/>
      <c r="J28" s="3"/>
      <c r="K28" s="3"/>
      <c r="L28" s="3"/>
    </row>
    <row r="29" ht="15.75" customHeight="1">
      <c r="A29" s="35" t="s">
        <v>454</v>
      </c>
      <c r="B29" s="3" t="s">
        <v>455</v>
      </c>
      <c r="G29" s="3"/>
      <c r="H29" s="3"/>
      <c r="I29" s="3"/>
      <c r="J29" s="3"/>
      <c r="K29" s="3"/>
      <c r="L29" s="3"/>
    </row>
    <row r="30" ht="15.75" customHeight="1">
      <c r="A30" s="35" t="s">
        <v>456</v>
      </c>
      <c r="B30" s="3" t="s">
        <v>457</v>
      </c>
      <c r="G30" s="3"/>
      <c r="H30" s="3"/>
      <c r="I30" s="3"/>
      <c r="J30" s="3"/>
      <c r="K30" s="3"/>
      <c r="L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27:F27"/>
    <mergeCell ref="B28:F28"/>
    <mergeCell ref="B29:F29"/>
    <mergeCell ref="B30:F30"/>
    <mergeCell ref="A1:L1"/>
    <mergeCell ref="A2:L2"/>
    <mergeCell ref="A7:L7"/>
    <mergeCell ref="A12:F12"/>
    <mergeCell ref="H12:L12"/>
    <mergeCell ref="A25:F25"/>
    <mergeCell ref="B26:F2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4.0"/>
    <col customWidth="1" min="2" max="2" width="18.0"/>
    <col customWidth="1" min="3" max="4" width="20.0"/>
    <col customWidth="1" min="5" max="5" width="22.0"/>
    <col customWidth="1" min="6" max="6" width="20.0"/>
    <col customWidth="1" min="7" max="7" width="60.0"/>
    <col customWidth="1" min="8" max="26" width="8.63"/>
  </cols>
  <sheetData>
    <row r="1" ht="30.0" customHeight="1">
      <c r="A1" s="1" t="s">
        <v>1</v>
      </c>
    </row>
    <row r="2" ht="33.75" customHeight="1">
      <c r="A2" s="2" t="s">
        <v>3</v>
      </c>
    </row>
    <row r="3">
      <c r="A3" s="3"/>
      <c r="B3" s="3"/>
      <c r="C3" s="3"/>
      <c r="D3" s="3"/>
      <c r="E3" s="3"/>
      <c r="F3" s="3"/>
      <c r="G3" s="3"/>
    </row>
    <row r="4">
      <c r="A4" s="4" t="s">
        <v>6</v>
      </c>
    </row>
    <row r="5">
      <c r="A5" s="3" t="s">
        <v>7</v>
      </c>
      <c r="B5" s="6" t="s">
        <v>13</v>
      </c>
      <c r="C5" s="3"/>
      <c r="D5" s="3" t="s">
        <v>16</v>
      </c>
      <c r="E5" s="6">
        <v>10.0</v>
      </c>
      <c r="F5" s="3"/>
      <c r="G5" s="3" t="s">
        <v>23</v>
      </c>
    </row>
    <row r="6">
      <c r="A6" s="3" t="s">
        <v>26</v>
      </c>
      <c r="B6" s="3" t="s">
        <v>27</v>
      </c>
      <c r="C6" s="3"/>
      <c r="D6" s="3" t="s">
        <v>28</v>
      </c>
      <c r="E6" s="3" t="s">
        <v>29</v>
      </c>
      <c r="F6" s="3"/>
      <c r="G6" s="3" t="s">
        <v>30</v>
      </c>
    </row>
    <row r="7">
      <c r="A7" s="3"/>
      <c r="B7" s="3"/>
      <c r="C7" s="3"/>
      <c r="D7" s="3"/>
      <c r="E7" s="3"/>
      <c r="F7" s="3"/>
      <c r="G7" s="3"/>
    </row>
    <row r="8">
      <c r="A8" s="3"/>
      <c r="B8" s="3"/>
      <c r="C8" s="3"/>
      <c r="D8" s="3"/>
      <c r="E8" s="3"/>
      <c r="F8" s="3"/>
      <c r="G8" s="3"/>
    </row>
    <row r="9">
      <c r="A9" s="4" t="s">
        <v>32</v>
      </c>
    </row>
    <row r="10">
      <c r="A10" s="5" t="s">
        <v>35</v>
      </c>
      <c r="B10" s="5" t="s">
        <v>38</v>
      </c>
      <c r="C10" s="5" t="s">
        <v>40</v>
      </c>
      <c r="D10" s="5" t="s">
        <v>41</v>
      </c>
      <c r="E10" s="5" t="s">
        <v>42</v>
      </c>
      <c r="F10" s="5" t="s">
        <v>43</v>
      </c>
      <c r="G10" s="5" t="s">
        <v>44</v>
      </c>
    </row>
    <row r="11">
      <c r="A11" s="3" t="s">
        <v>45</v>
      </c>
      <c r="B11" s="8">
        <v>149.0</v>
      </c>
      <c r="C11" s="8">
        <v>199.0</v>
      </c>
      <c r="D11" s="8">
        <v>349.0</v>
      </c>
      <c r="E11" s="3" t="s">
        <v>49</v>
      </c>
      <c r="F11" s="3" t="s">
        <v>51</v>
      </c>
      <c r="G11" s="3" t="s">
        <v>54</v>
      </c>
    </row>
    <row r="12">
      <c r="A12" s="3" t="s">
        <v>56</v>
      </c>
      <c r="B12" s="8">
        <v>299.0</v>
      </c>
      <c r="C12" s="8">
        <v>499.0</v>
      </c>
      <c r="D12" s="8">
        <v>799.0</v>
      </c>
      <c r="E12" s="3" t="s">
        <v>60</v>
      </c>
      <c r="F12" s="3" t="s">
        <v>51</v>
      </c>
      <c r="G12" s="3" t="s">
        <v>62</v>
      </c>
    </row>
    <row r="13">
      <c r="A13" s="3" t="s">
        <v>64</v>
      </c>
      <c r="B13" s="9">
        <v>100.0</v>
      </c>
      <c r="C13" s="9">
        <v>250.0</v>
      </c>
      <c r="D13" s="9">
        <v>600.0</v>
      </c>
      <c r="E13" s="3" t="s">
        <v>71</v>
      </c>
      <c r="F13" s="3" t="s">
        <v>51</v>
      </c>
      <c r="G13" s="3" t="s">
        <v>75</v>
      </c>
    </row>
    <row r="14">
      <c r="A14" s="3" t="s">
        <v>78</v>
      </c>
      <c r="B14" s="9">
        <v>1.0</v>
      </c>
      <c r="C14" s="9">
        <v>1.0</v>
      </c>
      <c r="D14" s="9">
        <v>2.0</v>
      </c>
      <c r="E14" s="3" t="s">
        <v>81</v>
      </c>
      <c r="F14" s="3" t="s">
        <v>51</v>
      </c>
      <c r="G14" s="3" t="s">
        <v>84</v>
      </c>
    </row>
    <row r="15">
      <c r="A15" s="3" t="s">
        <v>85</v>
      </c>
      <c r="B15" s="9">
        <v>2.0</v>
      </c>
      <c r="C15" s="9">
        <v>2.0</v>
      </c>
      <c r="D15" s="9">
        <v>2.0</v>
      </c>
      <c r="E15" s="3" t="s">
        <v>118</v>
      </c>
      <c r="F15" s="3" t="s">
        <v>119</v>
      </c>
      <c r="G15" s="3" t="s">
        <v>120</v>
      </c>
    </row>
    <row r="16">
      <c r="A16" s="3" t="s">
        <v>121</v>
      </c>
      <c r="B16" s="9">
        <v>2.0</v>
      </c>
      <c r="C16" s="9">
        <v>4.0</v>
      </c>
      <c r="D16" s="9">
        <v>8.0</v>
      </c>
      <c r="E16" s="3" t="s">
        <v>122</v>
      </c>
      <c r="F16" s="3" t="s">
        <v>123</v>
      </c>
      <c r="G16" s="3" t="s">
        <v>124</v>
      </c>
    </row>
    <row r="17">
      <c r="A17" s="3" t="s">
        <v>125</v>
      </c>
      <c r="B17" s="9">
        <v>0.5</v>
      </c>
      <c r="C17" s="9">
        <v>1.0</v>
      </c>
      <c r="D17" s="9">
        <v>2.0</v>
      </c>
      <c r="E17" s="3" t="s">
        <v>122</v>
      </c>
      <c r="F17" s="3" t="s">
        <v>123</v>
      </c>
      <c r="G17" s="3" t="s">
        <v>126</v>
      </c>
    </row>
    <row r="18">
      <c r="A18" s="3" t="s">
        <v>127</v>
      </c>
      <c r="B18" s="9">
        <v>6.0</v>
      </c>
      <c r="C18" s="9">
        <v>10.0</v>
      </c>
      <c r="D18" s="9">
        <v>16.0</v>
      </c>
      <c r="E18" s="3" t="s">
        <v>128</v>
      </c>
      <c r="F18" s="3" t="s">
        <v>129</v>
      </c>
      <c r="G18" s="3" t="s">
        <v>130</v>
      </c>
    </row>
    <row r="19">
      <c r="A19" s="3" t="s">
        <v>132</v>
      </c>
      <c r="B19" s="9">
        <v>3.0</v>
      </c>
      <c r="C19" s="9">
        <v>4.0</v>
      </c>
      <c r="D19" s="9">
        <v>6.0</v>
      </c>
      <c r="E19" s="3" t="s">
        <v>128</v>
      </c>
      <c r="F19" s="3" t="s">
        <v>129</v>
      </c>
      <c r="G19" s="3" t="s">
        <v>133</v>
      </c>
    </row>
    <row r="20">
      <c r="A20" s="3" t="s">
        <v>134</v>
      </c>
      <c r="B20" s="3" t="s">
        <v>135</v>
      </c>
      <c r="C20" s="3" t="s">
        <v>136</v>
      </c>
      <c r="D20" s="3" t="s">
        <v>137</v>
      </c>
      <c r="E20" s="3"/>
      <c r="F20" s="3" t="s">
        <v>139</v>
      </c>
      <c r="G20" s="3" t="s">
        <v>140</v>
      </c>
    </row>
    <row r="21" ht="15.75" customHeight="1">
      <c r="A21" s="3"/>
      <c r="B21" s="3"/>
      <c r="C21" s="3"/>
      <c r="D21" s="3"/>
      <c r="E21" s="3"/>
      <c r="F21" s="3"/>
      <c r="G21" s="3"/>
    </row>
    <row r="22" ht="15.75" customHeight="1">
      <c r="A22" s="3"/>
      <c r="B22" s="3"/>
      <c r="C22" s="3"/>
      <c r="D22" s="3"/>
      <c r="E22" s="3"/>
      <c r="F22" s="3"/>
      <c r="G22" s="3"/>
    </row>
    <row r="23" ht="15.75" customHeight="1">
      <c r="A23" s="4" t="s">
        <v>142</v>
      </c>
    </row>
    <row r="24" ht="15.75" customHeight="1">
      <c r="A24" s="5" t="s">
        <v>143</v>
      </c>
      <c r="B24" s="5" t="s">
        <v>144</v>
      </c>
      <c r="C24" s="5" t="s">
        <v>145</v>
      </c>
      <c r="D24" s="5" t="s">
        <v>146</v>
      </c>
      <c r="E24" s="5" t="s">
        <v>147</v>
      </c>
      <c r="F24" s="5" t="s">
        <v>43</v>
      </c>
      <c r="G24" s="5" t="s">
        <v>148</v>
      </c>
    </row>
    <row r="25" ht="15.75" customHeight="1">
      <c r="A25" s="3" t="s">
        <v>149</v>
      </c>
      <c r="B25" s="17">
        <v>1.0</v>
      </c>
      <c r="C25" s="17">
        <v>1.0</v>
      </c>
      <c r="D25" s="17">
        <v>1.0</v>
      </c>
      <c r="E25" s="17">
        <v>0.3</v>
      </c>
      <c r="F25" s="3" t="s">
        <v>151</v>
      </c>
      <c r="G25" s="3" t="s">
        <v>153</v>
      </c>
    </row>
    <row r="26" ht="15.75" customHeight="1">
      <c r="A26" s="3" t="s">
        <v>13</v>
      </c>
      <c r="B26" s="17">
        <v>0.65</v>
      </c>
      <c r="C26" s="17">
        <v>0.5</v>
      </c>
      <c r="D26" s="17">
        <v>0.5</v>
      </c>
      <c r="E26" s="17">
        <v>0.2</v>
      </c>
      <c r="F26" s="3" t="s">
        <v>151</v>
      </c>
      <c r="G26" s="3" t="s">
        <v>154</v>
      </c>
    </row>
    <row r="27" ht="15.75" customHeight="1">
      <c r="A27" s="3" t="s">
        <v>155</v>
      </c>
      <c r="B27" s="17">
        <v>0.4</v>
      </c>
      <c r="C27" s="17">
        <v>0.25</v>
      </c>
      <c r="D27" s="17">
        <v>0.25</v>
      </c>
      <c r="E27" s="17">
        <v>0.1</v>
      </c>
      <c r="F27" s="3" t="s">
        <v>151</v>
      </c>
      <c r="G27" s="3" t="s">
        <v>156</v>
      </c>
    </row>
    <row r="28" ht="15.75" customHeight="1">
      <c r="A28" s="3"/>
      <c r="B28" s="3"/>
      <c r="C28" s="3"/>
      <c r="D28" s="3"/>
      <c r="E28" s="3"/>
      <c r="F28" s="3"/>
      <c r="G28" s="3"/>
    </row>
    <row r="29" ht="15.75" customHeight="1">
      <c r="A29" s="3" t="s">
        <v>158</v>
      </c>
      <c r="B29" s="19" t="str">
        <f>$B$5</f>
        <v>Expected</v>
      </c>
      <c r="C29" s="3"/>
      <c r="D29" s="3"/>
      <c r="E29" s="3"/>
      <c r="F29" s="3"/>
      <c r="G29" s="3"/>
    </row>
    <row r="30" ht="15.75" customHeight="1">
      <c r="A30" s="3" t="s">
        <v>144</v>
      </c>
      <c r="B30" s="21">
        <f t="array" ref="B30">INDEX($B$25:$B$27,MATCH($B$5,$A$25:$A$27,0))</f>
        <v>0.65</v>
      </c>
      <c r="C30" s="3"/>
      <c r="D30" s="3"/>
      <c r="E30" s="3"/>
      <c r="F30" s="3"/>
      <c r="G30" s="3"/>
    </row>
    <row r="31" ht="15.75" customHeight="1">
      <c r="A31" s="3" t="s">
        <v>161</v>
      </c>
      <c r="B31" s="21">
        <f t="array" ref="B31">INDEX($C$25:$C$27,MATCH($B$5,$A$25:$A$27,0))</f>
        <v>0.5</v>
      </c>
      <c r="C31" s="3"/>
      <c r="D31" s="3"/>
      <c r="E31" s="3"/>
      <c r="F31" s="3"/>
      <c r="G31" s="3"/>
    </row>
    <row r="32" ht="15.75" customHeight="1">
      <c r="A32" s="3" t="s">
        <v>163</v>
      </c>
      <c r="B32" s="21">
        <f t="array" ref="B32">INDEX($D$25:$D$27,MATCH($B$5,$A$25:$A$27,0))</f>
        <v>0.5</v>
      </c>
      <c r="C32" s="3"/>
      <c r="D32" s="3"/>
      <c r="E32" s="3"/>
      <c r="F32" s="3"/>
      <c r="G32" s="3"/>
    </row>
    <row r="33" ht="15.75" customHeight="1">
      <c r="A33" s="3" t="s">
        <v>165</v>
      </c>
      <c r="B33" s="21">
        <f t="array" ref="B33">INDEX($E$25:$E$27,MATCH($B$5,$A$25:$A$27,0))</f>
        <v>0.2</v>
      </c>
      <c r="C33" s="3"/>
      <c r="D33" s="3"/>
      <c r="E33" s="3"/>
      <c r="F33" s="3"/>
      <c r="G33" s="3"/>
    </row>
    <row r="34" ht="15.75" customHeight="1">
      <c r="A34" s="3"/>
      <c r="B34" s="3"/>
      <c r="C34" s="3"/>
      <c r="D34" s="3"/>
      <c r="E34" s="3"/>
      <c r="F34" s="3"/>
      <c r="G34" s="3"/>
    </row>
    <row r="35" ht="15.75" customHeight="1">
      <c r="A35" s="3"/>
      <c r="B35" s="3"/>
      <c r="C35" s="3"/>
      <c r="D35" s="3"/>
      <c r="E35" s="3"/>
      <c r="F35" s="3"/>
      <c r="G35" s="3"/>
    </row>
    <row r="36" ht="15.75" customHeight="1">
      <c r="A36" s="4" t="s">
        <v>166</v>
      </c>
    </row>
    <row r="37" ht="15.75" customHeight="1">
      <c r="A37" s="5" t="s">
        <v>168</v>
      </c>
      <c r="B37" s="5" t="s">
        <v>169</v>
      </c>
      <c r="C37" s="5" t="s">
        <v>42</v>
      </c>
      <c r="D37" s="5" t="s">
        <v>43</v>
      </c>
      <c r="E37" s="5" t="s">
        <v>171</v>
      </c>
      <c r="F37" s="5" t="s">
        <v>172</v>
      </c>
      <c r="G37" s="5" t="s">
        <v>44</v>
      </c>
    </row>
    <row r="38" ht="15.75" customHeight="1">
      <c r="A38" s="3" t="s">
        <v>173</v>
      </c>
      <c r="B38" s="9">
        <v>25.0</v>
      </c>
      <c r="C38" s="3" t="s">
        <v>174</v>
      </c>
      <c r="D38" s="3" t="s">
        <v>175</v>
      </c>
      <c r="E38" s="3" t="s">
        <v>176</v>
      </c>
      <c r="F38" s="3" t="s">
        <v>177</v>
      </c>
      <c r="G38" s="3" t="s">
        <v>178</v>
      </c>
    </row>
    <row r="39" ht="15.75" customHeight="1">
      <c r="A39" s="3" t="s">
        <v>179</v>
      </c>
      <c r="B39" s="28">
        <v>0.0</v>
      </c>
      <c r="C39" s="3" t="s">
        <v>174</v>
      </c>
      <c r="D39" s="3" t="s">
        <v>86</v>
      </c>
      <c r="E39" s="3" t="s">
        <v>221</v>
      </c>
      <c r="F39" s="3" t="s">
        <v>177</v>
      </c>
      <c r="G39" s="3" t="s">
        <v>224</v>
      </c>
    </row>
    <row r="40" ht="15.75" customHeight="1">
      <c r="A40" s="3" t="s">
        <v>225</v>
      </c>
      <c r="B40" s="9">
        <v>120.0</v>
      </c>
      <c r="C40" s="3" t="s">
        <v>122</v>
      </c>
      <c r="D40" s="3" t="s">
        <v>129</v>
      </c>
      <c r="E40" s="3" t="s">
        <v>229</v>
      </c>
      <c r="F40" s="3" t="s">
        <v>230</v>
      </c>
      <c r="G40" s="3" t="s">
        <v>233</v>
      </c>
    </row>
    <row r="41" ht="15.75" customHeight="1">
      <c r="A41" s="3" t="s">
        <v>238</v>
      </c>
      <c r="B41" s="9">
        <v>0.0085</v>
      </c>
      <c r="C41" s="3" t="s">
        <v>240</v>
      </c>
      <c r="D41" s="3" t="s">
        <v>33</v>
      </c>
      <c r="E41" s="3" t="s">
        <v>241</v>
      </c>
      <c r="F41" s="3" t="s">
        <v>242</v>
      </c>
      <c r="G41" s="3" t="s">
        <v>243</v>
      </c>
    </row>
    <row r="42" ht="15.75" customHeight="1">
      <c r="A42" s="3" t="s">
        <v>244</v>
      </c>
      <c r="B42" s="9">
        <v>1.15</v>
      </c>
      <c r="C42" s="3" t="s">
        <v>245</v>
      </c>
      <c r="D42" s="3" t="s">
        <v>33</v>
      </c>
      <c r="E42" s="3" t="s">
        <v>241</v>
      </c>
      <c r="F42" s="3" t="s">
        <v>242</v>
      </c>
      <c r="G42" s="3" t="s">
        <v>246</v>
      </c>
    </row>
    <row r="43" ht="15.75" customHeight="1">
      <c r="A43" s="3" t="s">
        <v>247</v>
      </c>
      <c r="B43" s="9">
        <v>0.0025</v>
      </c>
      <c r="C43" s="3" t="s">
        <v>240</v>
      </c>
      <c r="D43" s="3" t="s">
        <v>248</v>
      </c>
      <c r="E43" s="3" t="s">
        <v>241</v>
      </c>
      <c r="F43" s="3" t="s">
        <v>76</v>
      </c>
      <c r="G43" s="3" t="s">
        <v>251</v>
      </c>
    </row>
    <row r="44" ht="15.75" customHeight="1">
      <c r="A44" s="3" t="s">
        <v>252</v>
      </c>
      <c r="B44" s="9">
        <v>0.0044</v>
      </c>
      <c r="C44" s="3" t="s">
        <v>240</v>
      </c>
      <c r="D44" s="3" t="s">
        <v>253</v>
      </c>
      <c r="E44" s="3" t="s">
        <v>241</v>
      </c>
      <c r="F44" s="3" t="s">
        <v>76</v>
      </c>
      <c r="G44" s="3" t="s">
        <v>257</v>
      </c>
    </row>
    <row r="45" ht="15.75" customHeight="1">
      <c r="A45" s="3" t="s">
        <v>258</v>
      </c>
      <c r="B45" s="9">
        <v>1.0</v>
      </c>
      <c r="C45" s="3" t="s">
        <v>261</v>
      </c>
      <c r="D45" s="3" t="s">
        <v>33</v>
      </c>
      <c r="E45" s="3" t="s">
        <v>266</v>
      </c>
      <c r="F45" s="3" t="s">
        <v>242</v>
      </c>
      <c r="G45" s="3" t="s">
        <v>269</v>
      </c>
    </row>
    <row r="46" ht="15.75" customHeight="1">
      <c r="A46" s="3" t="s">
        <v>272</v>
      </c>
      <c r="B46" s="9">
        <v>5.0</v>
      </c>
      <c r="C46" s="3" t="s">
        <v>261</v>
      </c>
      <c r="D46" s="3" t="s">
        <v>33</v>
      </c>
      <c r="E46" s="3" t="s">
        <v>266</v>
      </c>
      <c r="F46" s="3" t="s">
        <v>242</v>
      </c>
      <c r="G46" s="3" t="s">
        <v>274</v>
      </c>
    </row>
    <row r="47" ht="15.75" customHeight="1">
      <c r="A47" s="3" t="s">
        <v>275</v>
      </c>
      <c r="B47" s="28">
        <v>0.0</v>
      </c>
      <c r="C47" s="3" t="s">
        <v>277</v>
      </c>
      <c r="D47" s="3" t="s">
        <v>86</v>
      </c>
      <c r="E47" s="3" t="s">
        <v>280</v>
      </c>
      <c r="F47" s="3" t="s">
        <v>76</v>
      </c>
      <c r="G47" s="3" t="s">
        <v>285</v>
      </c>
    </row>
    <row r="48" ht="15.75" customHeight="1">
      <c r="A48" s="3" t="s">
        <v>288</v>
      </c>
      <c r="B48" s="28">
        <v>0.0</v>
      </c>
      <c r="C48" s="3" t="s">
        <v>277</v>
      </c>
      <c r="D48" s="3" t="s">
        <v>86</v>
      </c>
      <c r="E48" s="3" t="s">
        <v>280</v>
      </c>
      <c r="F48" s="3" t="s">
        <v>76</v>
      </c>
      <c r="G48" s="3" t="s">
        <v>285</v>
      </c>
    </row>
    <row r="49" ht="15.75" customHeight="1">
      <c r="A49" s="3" t="s">
        <v>292</v>
      </c>
      <c r="B49" s="9">
        <v>19.99</v>
      </c>
      <c r="C49" s="3" t="s">
        <v>49</v>
      </c>
      <c r="D49" s="3" t="s">
        <v>33</v>
      </c>
      <c r="E49" s="3" t="s">
        <v>293</v>
      </c>
      <c r="F49" s="3" t="s">
        <v>242</v>
      </c>
      <c r="G49" s="3" t="s">
        <v>295</v>
      </c>
    </row>
    <row r="50" ht="15.75" customHeight="1">
      <c r="A50" s="3" t="s">
        <v>296</v>
      </c>
      <c r="B50" s="9">
        <v>750.0</v>
      </c>
      <c r="C50" s="3" t="s">
        <v>297</v>
      </c>
      <c r="D50" s="3" t="s">
        <v>33</v>
      </c>
      <c r="E50" s="3" t="s">
        <v>298</v>
      </c>
      <c r="F50" s="3" t="s">
        <v>242</v>
      </c>
      <c r="G50" s="3" t="s">
        <v>300</v>
      </c>
    </row>
    <row r="51" ht="15.75" customHeight="1">
      <c r="A51" s="3" t="s">
        <v>301</v>
      </c>
      <c r="B51" s="28">
        <v>0.0334</v>
      </c>
      <c r="C51" s="3" t="s">
        <v>302</v>
      </c>
      <c r="D51" s="3" t="s">
        <v>303</v>
      </c>
      <c r="E51" s="3" t="s">
        <v>305</v>
      </c>
      <c r="F51" s="3" t="s">
        <v>306</v>
      </c>
      <c r="G51" s="3" t="s">
        <v>307</v>
      </c>
    </row>
    <row r="52" ht="15.75" customHeight="1">
      <c r="A52" s="3" t="s">
        <v>309</v>
      </c>
      <c r="B52" s="28">
        <v>0.0</v>
      </c>
      <c r="C52" s="3" t="s">
        <v>313</v>
      </c>
      <c r="D52" s="3" t="s">
        <v>86</v>
      </c>
      <c r="E52" s="3" t="s">
        <v>316</v>
      </c>
      <c r="F52" s="3" t="s">
        <v>76</v>
      </c>
      <c r="G52" s="3" t="s">
        <v>319</v>
      </c>
    </row>
    <row r="53" ht="15.75" customHeight="1">
      <c r="A53" s="3" t="s">
        <v>321</v>
      </c>
      <c r="B53" s="28">
        <v>0.0</v>
      </c>
      <c r="C53" s="3" t="s">
        <v>324</v>
      </c>
      <c r="D53" s="3" t="s">
        <v>86</v>
      </c>
      <c r="E53" s="3" t="s">
        <v>316</v>
      </c>
      <c r="F53" s="3" t="s">
        <v>76</v>
      </c>
      <c r="G53" s="3" t="s">
        <v>328</v>
      </c>
    </row>
    <row r="54" ht="15.75" customHeight="1">
      <c r="A54" s="3" t="s">
        <v>330</v>
      </c>
      <c r="B54" s="9">
        <v>5.0</v>
      </c>
      <c r="C54" s="3" t="s">
        <v>49</v>
      </c>
      <c r="D54" s="3" t="s">
        <v>33</v>
      </c>
      <c r="E54" s="3" t="s">
        <v>332</v>
      </c>
      <c r="F54" s="3" t="s">
        <v>242</v>
      </c>
      <c r="G54" s="3" t="s">
        <v>333</v>
      </c>
    </row>
    <row r="55" ht="15.75" customHeight="1">
      <c r="A55" s="3" t="s">
        <v>334</v>
      </c>
      <c r="B55" s="28">
        <v>0.0</v>
      </c>
      <c r="C55" s="3" t="s">
        <v>336</v>
      </c>
      <c r="D55" s="3" t="s">
        <v>86</v>
      </c>
      <c r="E55" s="3" t="s">
        <v>338</v>
      </c>
      <c r="F55" s="3" t="s">
        <v>76</v>
      </c>
      <c r="G55" s="3" t="s">
        <v>341</v>
      </c>
    </row>
    <row r="56" ht="15.75" customHeight="1">
      <c r="A56" s="3" t="s">
        <v>345</v>
      </c>
      <c r="B56" s="9">
        <v>25.0</v>
      </c>
      <c r="C56" s="3" t="s">
        <v>49</v>
      </c>
      <c r="D56" s="3" t="s">
        <v>33</v>
      </c>
      <c r="E56" s="3" t="s">
        <v>349</v>
      </c>
      <c r="F56" s="3" t="s">
        <v>242</v>
      </c>
      <c r="G56" s="3" t="s">
        <v>351</v>
      </c>
    </row>
    <row r="57" ht="15.75" customHeight="1">
      <c r="A57" s="3" t="s">
        <v>353</v>
      </c>
      <c r="B57" s="28">
        <v>0.0</v>
      </c>
      <c r="C57" s="3" t="s">
        <v>336</v>
      </c>
      <c r="D57" s="3" t="s">
        <v>86</v>
      </c>
      <c r="E57" s="3" t="s">
        <v>338</v>
      </c>
      <c r="F57" s="3" t="s">
        <v>76</v>
      </c>
      <c r="G57" s="3" t="s">
        <v>356</v>
      </c>
    </row>
    <row r="58" ht="15.75" customHeight="1">
      <c r="A58" s="3" t="s">
        <v>74</v>
      </c>
      <c r="B58" s="28">
        <v>0.0</v>
      </c>
      <c r="C58" s="3" t="s">
        <v>49</v>
      </c>
      <c r="D58" s="3" t="s">
        <v>86</v>
      </c>
      <c r="E58" s="3" t="s">
        <v>221</v>
      </c>
      <c r="F58" s="3" t="s">
        <v>230</v>
      </c>
      <c r="G58" s="3" t="s">
        <v>360</v>
      </c>
    </row>
    <row r="59" ht="15.75" customHeight="1">
      <c r="A59" s="3" t="s">
        <v>361</v>
      </c>
      <c r="B59" s="28">
        <v>0.0</v>
      </c>
      <c r="C59" s="3" t="s">
        <v>363</v>
      </c>
      <c r="D59" s="3" t="s">
        <v>86</v>
      </c>
      <c r="E59" s="3" t="s">
        <v>365</v>
      </c>
      <c r="F59" s="3" t="s">
        <v>230</v>
      </c>
      <c r="G59" s="3" t="s">
        <v>367</v>
      </c>
    </row>
    <row r="60" ht="15.75" customHeight="1">
      <c r="A60" s="3" t="s">
        <v>368</v>
      </c>
      <c r="B60" s="9">
        <v>1.0</v>
      </c>
      <c r="C60" s="3" t="s">
        <v>81</v>
      </c>
      <c r="D60" s="3" t="s">
        <v>129</v>
      </c>
      <c r="E60" s="3" t="s">
        <v>371</v>
      </c>
      <c r="F60" s="3" t="s">
        <v>76</v>
      </c>
      <c r="G60" s="3" t="s">
        <v>373</v>
      </c>
    </row>
    <row r="61" ht="15.75" customHeight="1">
      <c r="A61" s="3" t="s">
        <v>374</v>
      </c>
      <c r="B61" s="32">
        <v>0.0</v>
      </c>
      <c r="C61" s="3" t="s">
        <v>377</v>
      </c>
      <c r="D61" s="3" t="s">
        <v>86</v>
      </c>
      <c r="E61" s="3" t="s">
        <v>379</v>
      </c>
      <c r="F61" s="3" t="s">
        <v>177</v>
      </c>
      <c r="G61" s="3" t="s">
        <v>381</v>
      </c>
    </row>
    <row r="62" ht="15.75" customHeight="1">
      <c r="A62" s="3" t="s">
        <v>383</v>
      </c>
      <c r="B62" s="28">
        <v>0.0</v>
      </c>
      <c r="C62" s="3" t="s">
        <v>384</v>
      </c>
      <c r="D62" s="3" t="s">
        <v>86</v>
      </c>
      <c r="E62" s="3" t="s">
        <v>386</v>
      </c>
      <c r="F62" s="3" t="s">
        <v>177</v>
      </c>
      <c r="G62" s="3" t="s">
        <v>389</v>
      </c>
    </row>
    <row r="63" ht="15.75" customHeight="1">
      <c r="A63" s="3" t="s">
        <v>390</v>
      </c>
      <c r="B63" s="32">
        <v>0.0</v>
      </c>
      <c r="C63" s="3" t="s">
        <v>393</v>
      </c>
      <c r="D63" s="3" t="s">
        <v>86</v>
      </c>
      <c r="E63" s="3" t="s">
        <v>395</v>
      </c>
      <c r="F63" s="3" t="s">
        <v>177</v>
      </c>
      <c r="G63" s="3" t="s">
        <v>397</v>
      </c>
    </row>
    <row r="64" ht="15.75" customHeight="1">
      <c r="A64" s="3" t="s">
        <v>89</v>
      </c>
      <c r="B64" s="28">
        <v>0.0</v>
      </c>
      <c r="C64" s="3" t="s">
        <v>49</v>
      </c>
      <c r="D64" s="3" t="s">
        <v>86</v>
      </c>
      <c r="E64" s="3" t="s">
        <v>221</v>
      </c>
      <c r="F64" s="3" t="s">
        <v>177</v>
      </c>
      <c r="G64" s="3" t="s">
        <v>405</v>
      </c>
    </row>
    <row r="65" ht="15.75" customHeight="1">
      <c r="A65" s="3" t="s">
        <v>91</v>
      </c>
      <c r="B65" s="28">
        <v>0.0</v>
      </c>
      <c r="C65" s="3" t="s">
        <v>49</v>
      </c>
      <c r="D65" s="3" t="s">
        <v>86</v>
      </c>
      <c r="E65" s="3" t="s">
        <v>221</v>
      </c>
      <c r="F65" s="3" t="s">
        <v>177</v>
      </c>
      <c r="G65" s="3" t="s">
        <v>412</v>
      </c>
    </row>
    <row r="66" ht="15.75" customHeight="1">
      <c r="A66" s="3" t="s">
        <v>93</v>
      </c>
      <c r="B66" s="28">
        <v>0.0</v>
      </c>
      <c r="C66" s="3" t="s">
        <v>49</v>
      </c>
      <c r="D66" s="3" t="s">
        <v>86</v>
      </c>
      <c r="E66" s="3" t="s">
        <v>221</v>
      </c>
      <c r="F66" s="3" t="s">
        <v>177</v>
      </c>
      <c r="G66" s="3" t="s">
        <v>415</v>
      </c>
    </row>
    <row r="67" ht="15.75" customHeight="1">
      <c r="A67" s="3"/>
      <c r="B67" s="3"/>
      <c r="C67" s="3"/>
      <c r="D67" s="3"/>
      <c r="E67" s="3"/>
      <c r="F67" s="3"/>
      <c r="G67" s="3"/>
    </row>
    <row r="68" ht="15.75" customHeight="1">
      <c r="A68" s="3"/>
      <c r="B68" s="3"/>
      <c r="C68" s="3"/>
      <c r="D68" s="3"/>
      <c r="E68" s="3"/>
      <c r="F68" s="3"/>
      <c r="G68" s="3"/>
    </row>
    <row r="69" ht="15.75" customHeight="1">
      <c r="A69" s="3"/>
      <c r="B69" s="3"/>
      <c r="C69" s="3"/>
      <c r="D69" s="3"/>
      <c r="E69" s="3"/>
      <c r="F69" s="3"/>
      <c r="G69" s="3"/>
    </row>
    <row r="70" ht="15.75" customHeight="1">
      <c r="A70" s="4" t="s">
        <v>425</v>
      </c>
    </row>
    <row r="71" ht="15.75" customHeight="1">
      <c r="A71" s="5" t="s">
        <v>48</v>
      </c>
      <c r="B71" s="5" t="s">
        <v>429</v>
      </c>
      <c r="C71" s="5" t="s">
        <v>430</v>
      </c>
      <c r="D71" s="5" t="s">
        <v>431</v>
      </c>
      <c r="E71" s="5" t="s">
        <v>432</v>
      </c>
      <c r="F71" s="5" t="s">
        <v>43</v>
      </c>
      <c r="G71" s="5" t="s">
        <v>44</v>
      </c>
    </row>
    <row r="72" ht="15.75" customHeight="1">
      <c r="A72" s="3" t="s">
        <v>38</v>
      </c>
      <c r="B72" s="8">
        <v>6.0</v>
      </c>
      <c r="C72" s="33">
        <v>75.0</v>
      </c>
      <c r="D72" s="34">
        <v>0.08</v>
      </c>
      <c r="E72" s="6">
        <v>6.0</v>
      </c>
      <c r="F72" s="3" t="s">
        <v>33</v>
      </c>
      <c r="G72" s="3" t="s">
        <v>438</v>
      </c>
    </row>
    <row r="73" ht="15.75" customHeight="1">
      <c r="A73" s="3" t="s">
        <v>440</v>
      </c>
      <c r="B73" s="8">
        <v>22.0</v>
      </c>
      <c r="C73" s="33">
        <v>275.0</v>
      </c>
      <c r="D73" s="34">
        <v>0.08</v>
      </c>
      <c r="E73" s="6">
        <v>10.0</v>
      </c>
      <c r="F73" s="3" t="s">
        <v>33</v>
      </c>
      <c r="G73" s="3"/>
    </row>
    <row r="74" ht="15.75" customHeight="1">
      <c r="A74" s="3" t="s">
        <v>444</v>
      </c>
      <c r="B74" s="8">
        <v>99.0</v>
      </c>
      <c r="C74" s="33">
        <v>1238.0</v>
      </c>
      <c r="D74" s="34">
        <v>0.08</v>
      </c>
      <c r="E74" s="6">
        <v>20.0</v>
      </c>
      <c r="F74" s="3" t="s">
        <v>33</v>
      </c>
      <c r="G74" s="3"/>
    </row>
    <row r="75" ht="15.75" customHeight="1">
      <c r="A75" s="3" t="s">
        <v>41</v>
      </c>
      <c r="B75" s="8">
        <v>299.0</v>
      </c>
      <c r="C75" s="33">
        <v>3738.0</v>
      </c>
      <c r="D75" s="34">
        <v>0.08</v>
      </c>
      <c r="E75" s="6">
        <v>30.0</v>
      </c>
      <c r="F75" s="3" t="s">
        <v>33</v>
      </c>
      <c r="G75" s="3"/>
    </row>
    <row r="76" ht="15.75" customHeight="1">
      <c r="A76" s="3" t="s">
        <v>451</v>
      </c>
      <c r="B76" s="8">
        <v>990.0</v>
      </c>
      <c r="C76" s="33">
        <v>12375.0</v>
      </c>
      <c r="D76" s="34">
        <v>0.08</v>
      </c>
      <c r="E76" s="6">
        <v>40.0</v>
      </c>
      <c r="F76" s="3" t="s">
        <v>33</v>
      </c>
      <c r="G76" s="3" t="s">
        <v>453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2:G2"/>
    <mergeCell ref="A4:G4"/>
    <mergeCell ref="A9:G9"/>
    <mergeCell ref="A23:G23"/>
    <mergeCell ref="A36:G36"/>
    <mergeCell ref="A70:G70"/>
  </mergeCells>
  <dataValidations>
    <dataValidation type="list" allowBlank="1" sqref="B5">
      <formula1>"Conservative,Expected,Efficient"</formula1>
    </dataValidation>
    <dataValidation type="list" allowBlank="1" sqref="E5">
      <formula1>"1,2,3,5,10,15,20,30,50,100"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4.0"/>
    <col customWidth="1" min="2" max="2" width="18.0"/>
    <col customWidth="1" min="3" max="3" width="30.0"/>
    <col customWidth="1" min="4" max="5" width="15.0"/>
    <col customWidth="1" min="6" max="6" width="13.0"/>
    <col customWidth="1" min="7" max="7" width="18.0"/>
    <col customWidth="1" min="8" max="8" width="12.0"/>
    <col customWidth="1" min="9" max="9" width="18.0"/>
    <col customWidth="1" min="10" max="10" width="55.0"/>
    <col customWidth="1" min="11" max="26" width="8.63"/>
  </cols>
  <sheetData>
    <row r="1" ht="30.0" customHeight="1">
      <c r="A1" s="1" t="s">
        <v>0</v>
      </c>
    </row>
    <row r="2" ht="33.75" customHeight="1">
      <c r="A2" s="2" t="s">
        <v>4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</row>
    <row r="4">
      <c r="A4" s="4" t="s">
        <v>8</v>
      </c>
    </row>
    <row r="5">
      <c r="A5" s="5" t="s">
        <v>9</v>
      </c>
      <c r="B5" s="5" t="s">
        <v>10</v>
      </c>
      <c r="C5" s="5" t="s">
        <v>11</v>
      </c>
      <c r="D5" s="5" t="s">
        <v>12</v>
      </c>
      <c r="E5" s="5" t="s">
        <v>14</v>
      </c>
      <c r="F5" s="5" t="s">
        <v>15</v>
      </c>
      <c r="G5" s="5" t="s">
        <v>17</v>
      </c>
      <c r="H5" s="5" t="s">
        <v>18</v>
      </c>
      <c r="I5" s="5" t="s">
        <v>19</v>
      </c>
      <c r="J5" s="5" t="s">
        <v>20</v>
      </c>
    </row>
    <row r="6">
      <c r="A6" s="3" t="s">
        <v>21</v>
      </c>
      <c r="B6" s="3" t="s">
        <v>22</v>
      </c>
      <c r="C6" s="3" t="s">
        <v>24</v>
      </c>
      <c r="D6" s="3" t="s">
        <v>25</v>
      </c>
      <c r="E6" s="7">
        <f>Assumptions!$B$49</f>
        <v>19.99</v>
      </c>
      <c r="F6" s="7" t="s">
        <v>29</v>
      </c>
      <c r="G6" s="7">
        <f>Assumptions!$B$49</f>
        <v>19.99</v>
      </c>
      <c r="H6" s="3" t="s">
        <v>31</v>
      </c>
      <c r="I6" s="3" t="s">
        <v>33</v>
      </c>
      <c r="J6" s="3" t="s">
        <v>34</v>
      </c>
    </row>
    <row r="7">
      <c r="A7" s="3" t="s">
        <v>36</v>
      </c>
      <c r="B7" s="3" t="s">
        <v>37</v>
      </c>
      <c r="C7" s="3" t="s">
        <v>39</v>
      </c>
      <c r="D7" s="3" t="s">
        <v>25</v>
      </c>
      <c r="E7" s="7">
        <f>Assumptions!$B$56</f>
        <v>25</v>
      </c>
      <c r="F7" s="7" t="s">
        <v>29</v>
      </c>
      <c r="G7" s="7">
        <f>Assumptions!$B$56</f>
        <v>25</v>
      </c>
      <c r="H7" s="3" t="s">
        <v>31</v>
      </c>
      <c r="I7" s="3" t="s">
        <v>33</v>
      </c>
      <c r="J7" s="3" t="s">
        <v>47</v>
      </c>
    </row>
    <row r="8">
      <c r="A8" s="3" t="s">
        <v>50</v>
      </c>
      <c r="B8" s="3" t="s">
        <v>52</v>
      </c>
      <c r="C8" s="3" t="s">
        <v>53</v>
      </c>
      <c r="D8" s="3" t="s">
        <v>25</v>
      </c>
      <c r="E8" s="7">
        <f>Assumptions!$B$54</f>
        <v>5</v>
      </c>
      <c r="F8" s="7" t="s">
        <v>29</v>
      </c>
      <c r="G8" s="7">
        <f>Assumptions!$B$54</f>
        <v>5</v>
      </c>
      <c r="H8" s="3" t="s">
        <v>31</v>
      </c>
      <c r="I8" s="3" t="s">
        <v>33</v>
      </c>
      <c r="J8" s="3" t="s">
        <v>68</v>
      </c>
    </row>
    <row r="9">
      <c r="A9" s="3" t="s">
        <v>70</v>
      </c>
      <c r="B9" s="3" t="s">
        <v>72</v>
      </c>
      <c r="C9" s="3" t="s">
        <v>74</v>
      </c>
      <c r="D9" s="3" t="s">
        <v>25</v>
      </c>
      <c r="E9" s="7">
        <f>Assumptions!$B$58</f>
        <v>0</v>
      </c>
      <c r="F9" s="7" t="s">
        <v>29</v>
      </c>
      <c r="G9" s="7">
        <f>Assumptions!$B$58</f>
        <v>0</v>
      </c>
      <c r="H9" s="3" t="s">
        <v>31</v>
      </c>
      <c r="I9" s="3" t="s">
        <v>86</v>
      </c>
      <c r="J9" s="3" t="s">
        <v>87</v>
      </c>
    </row>
    <row r="10">
      <c r="A10" s="3" t="s">
        <v>88</v>
      </c>
      <c r="B10" s="3" t="s">
        <v>72</v>
      </c>
      <c r="C10" s="3" t="s">
        <v>89</v>
      </c>
      <c r="D10" s="3" t="s">
        <v>25</v>
      </c>
      <c r="E10" s="7">
        <f>Assumptions!$B$64</f>
        <v>0</v>
      </c>
      <c r="F10" s="7" t="s">
        <v>29</v>
      </c>
      <c r="G10" s="7">
        <f>Assumptions!$B$64</f>
        <v>0</v>
      </c>
      <c r="H10" s="3" t="s">
        <v>31</v>
      </c>
      <c r="I10" s="3" t="s">
        <v>86</v>
      </c>
      <c r="J10" s="3" t="s">
        <v>87</v>
      </c>
    </row>
    <row r="11">
      <c r="A11" s="3" t="s">
        <v>90</v>
      </c>
      <c r="B11" s="3" t="s">
        <v>72</v>
      </c>
      <c r="C11" s="3" t="s">
        <v>91</v>
      </c>
      <c r="D11" s="3" t="s">
        <v>25</v>
      </c>
      <c r="E11" s="7">
        <f>Assumptions!$B$65</f>
        <v>0</v>
      </c>
      <c r="F11" s="7" t="s">
        <v>29</v>
      </c>
      <c r="G11" s="7">
        <f>Assumptions!$B$65</f>
        <v>0</v>
      </c>
      <c r="H11" s="3" t="s">
        <v>31</v>
      </c>
      <c r="I11" s="3" t="s">
        <v>86</v>
      </c>
      <c r="J11" s="3" t="s">
        <v>87</v>
      </c>
    </row>
    <row r="12">
      <c r="A12" s="3" t="s">
        <v>92</v>
      </c>
      <c r="B12" s="3" t="s">
        <v>72</v>
      </c>
      <c r="C12" s="3" t="s">
        <v>93</v>
      </c>
      <c r="D12" s="3" t="s">
        <v>25</v>
      </c>
      <c r="E12" s="7">
        <f>Assumptions!$B$66</f>
        <v>0</v>
      </c>
      <c r="F12" s="7" t="s">
        <v>29</v>
      </c>
      <c r="G12" s="7">
        <f>Assumptions!$B$66</f>
        <v>0</v>
      </c>
      <c r="H12" s="3" t="s">
        <v>31</v>
      </c>
      <c r="I12" s="3" t="s">
        <v>86</v>
      </c>
      <c r="J12" s="3" t="s">
        <v>87</v>
      </c>
    </row>
    <row r="13">
      <c r="A13" s="3" t="s">
        <v>94</v>
      </c>
      <c r="B13" s="3" t="s">
        <v>63</v>
      </c>
      <c r="C13" s="3" t="s">
        <v>95</v>
      </c>
      <c r="D13" s="3" t="s">
        <v>25</v>
      </c>
      <c r="E13" s="7">
        <v>2.0</v>
      </c>
      <c r="F13" s="7" t="s">
        <v>29</v>
      </c>
      <c r="G13" s="7">
        <v>0.0</v>
      </c>
      <c r="H13" s="3" t="s">
        <v>96</v>
      </c>
      <c r="I13" s="3" t="s">
        <v>97</v>
      </c>
      <c r="J13" s="3" t="s">
        <v>98</v>
      </c>
    </row>
    <row r="14">
      <c r="A14" s="3" t="s">
        <v>94</v>
      </c>
      <c r="B14" s="3" t="s">
        <v>63</v>
      </c>
      <c r="C14" s="3" t="s">
        <v>99</v>
      </c>
      <c r="D14" s="3" t="s">
        <v>100</v>
      </c>
      <c r="E14" s="12">
        <v>4.5</v>
      </c>
      <c r="F14" s="12" t="s">
        <v>100</v>
      </c>
      <c r="G14" s="12">
        <v>0.0</v>
      </c>
      <c r="H14" s="3" t="s">
        <v>96</v>
      </c>
      <c r="I14" s="3" t="s">
        <v>97</v>
      </c>
      <c r="J14" s="3" t="s">
        <v>101</v>
      </c>
    </row>
    <row r="15">
      <c r="A15" s="3" t="s">
        <v>102</v>
      </c>
      <c r="B15" s="3" t="s">
        <v>63</v>
      </c>
      <c r="C15" s="3" t="s">
        <v>103</v>
      </c>
      <c r="D15" s="3" t="s">
        <v>104</v>
      </c>
      <c r="E15" s="12">
        <v>24.4375</v>
      </c>
      <c r="F15" s="12" t="s">
        <v>105</v>
      </c>
      <c r="G15" s="12">
        <v>0.0</v>
      </c>
      <c r="H15" s="3" t="s">
        <v>96</v>
      </c>
      <c r="I15" s="3" t="s">
        <v>97</v>
      </c>
      <c r="J15" s="3" t="s">
        <v>106</v>
      </c>
    </row>
    <row r="16">
      <c r="A16" s="3" t="s">
        <v>94</v>
      </c>
      <c r="B16" s="3" t="s">
        <v>65</v>
      </c>
      <c r="C16" s="3" t="s">
        <v>107</v>
      </c>
      <c r="D16" s="3" t="s">
        <v>108</v>
      </c>
      <c r="E16" s="12">
        <v>50.0</v>
      </c>
      <c r="F16" s="12" t="s">
        <v>109</v>
      </c>
      <c r="G16" s="12">
        <v>0.0</v>
      </c>
      <c r="H16" s="3" t="s">
        <v>96</v>
      </c>
      <c r="I16" s="3" t="s">
        <v>110</v>
      </c>
      <c r="J16" s="3" t="s">
        <v>111</v>
      </c>
    </row>
    <row r="17">
      <c r="A17" s="3" t="s">
        <v>50</v>
      </c>
      <c r="B17" s="3" t="s">
        <v>112</v>
      </c>
      <c r="C17" s="3" t="s">
        <v>113</v>
      </c>
      <c r="D17" s="3" t="s">
        <v>114</v>
      </c>
      <c r="E17" s="12">
        <v>0.0</v>
      </c>
      <c r="F17" s="12" t="s">
        <v>29</v>
      </c>
      <c r="G17" s="12">
        <v>0.0</v>
      </c>
      <c r="H17" s="3" t="s">
        <v>96</v>
      </c>
      <c r="I17" s="3" t="s">
        <v>115</v>
      </c>
      <c r="J17" s="3" t="s">
        <v>116</v>
      </c>
    </row>
    <row r="18">
      <c r="A18" s="3"/>
      <c r="B18" s="3"/>
      <c r="C18" s="3"/>
      <c r="D18" s="3"/>
      <c r="E18" s="12"/>
      <c r="F18" s="12"/>
      <c r="G18" s="12"/>
      <c r="H18" s="3"/>
      <c r="I18" s="3"/>
      <c r="J18" s="3"/>
    </row>
    <row r="19">
      <c r="A19" s="3"/>
      <c r="B19" s="3"/>
      <c r="C19" s="3"/>
      <c r="D19" s="3"/>
      <c r="E19" s="12"/>
      <c r="F19" s="12"/>
      <c r="G19" s="12"/>
      <c r="H19" s="3"/>
      <c r="I19" s="3"/>
      <c r="J19" s="3"/>
    </row>
    <row r="20">
      <c r="A20" s="13" t="s">
        <v>117</v>
      </c>
      <c r="B20" s="13"/>
      <c r="C20" s="13"/>
      <c r="D20" s="13"/>
      <c r="E20" s="14"/>
      <c r="F20" s="14"/>
      <c r="G20" s="16">
        <f>SUM(G6:G12)</f>
        <v>49.99</v>
      </c>
      <c r="H20" s="3"/>
      <c r="I20" s="3"/>
      <c r="J20" s="3"/>
    </row>
    <row r="21" ht="15.75" customHeight="1">
      <c r="A21" s="3" t="s">
        <v>131</v>
      </c>
      <c r="B21" s="12">
        <v>80.59416667</v>
      </c>
      <c r="C21" s="3"/>
      <c r="D21" s="3"/>
      <c r="E21" s="12"/>
      <c r="F21" s="12"/>
      <c r="G21" s="12"/>
      <c r="H21" s="3"/>
      <c r="I21" s="3"/>
      <c r="J21" s="3"/>
    </row>
    <row r="22" ht="15.75" customHeight="1">
      <c r="A22" s="3" t="s">
        <v>138</v>
      </c>
      <c r="B22" s="12">
        <f>G20</f>
        <v>49.99</v>
      </c>
      <c r="C22" s="3"/>
      <c r="D22" s="3"/>
      <c r="E22" s="12"/>
      <c r="F22" s="12"/>
      <c r="G22" s="12"/>
      <c r="H22" s="3"/>
      <c r="I22" s="3"/>
      <c r="J22" s="3"/>
    </row>
    <row r="23" ht="15.75" customHeight="1">
      <c r="A23" s="3" t="s">
        <v>141</v>
      </c>
      <c r="B23" s="12">
        <f>B21-B22</f>
        <v>30.60416667</v>
      </c>
      <c r="C23" s="3"/>
      <c r="D23" s="3"/>
      <c r="E23" s="12"/>
      <c r="F23" s="12"/>
      <c r="G23" s="12"/>
      <c r="H23" s="3"/>
      <c r="I23" s="3"/>
      <c r="J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ht="15.75" customHeight="1">
      <c r="A25" s="18" t="s">
        <v>150</v>
      </c>
      <c r="B25" s="18" t="s">
        <v>152</v>
      </c>
    </row>
    <row r="26" ht="15.75" customHeight="1">
      <c r="A26" s="1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2:J2"/>
    <mergeCell ref="A4:J4"/>
    <mergeCell ref="B25:J2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5.0"/>
    <col customWidth="1" min="2" max="2" width="22.0"/>
    <col customWidth="1" min="3" max="3" width="44.0"/>
    <col customWidth="1" min="4" max="4" width="48.0"/>
    <col customWidth="1" min="5" max="5" width="14.0"/>
    <col customWidth="1" min="6" max="7" width="12.0"/>
    <col customWidth="1" min="8" max="8" width="14.0"/>
    <col customWidth="1" min="9" max="9" width="12.0"/>
    <col customWidth="1" min="10" max="10" width="14.0"/>
    <col customWidth="1" min="11" max="11" width="13.0"/>
    <col customWidth="1" min="12" max="14" width="14.0"/>
    <col customWidth="1" min="15" max="15" width="16.0"/>
    <col customWidth="1" min="16" max="16" width="17.0"/>
    <col customWidth="1" min="17" max="17" width="16.0"/>
    <col customWidth="1" min="18" max="18" width="13.0"/>
    <col customWidth="1" min="19" max="26" width="8.63"/>
  </cols>
  <sheetData>
    <row r="1" ht="30.0" customHeight="1">
      <c r="A1" s="1" t="s">
        <v>2</v>
      </c>
    </row>
    <row r="2" ht="33.75" customHeight="1">
      <c r="A2" s="2" t="s">
        <v>5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>
      <c r="A4" s="4" t="s">
        <v>46</v>
      </c>
    </row>
    <row r="5">
      <c r="A5" s="5" t="s">
        <v>48</v>
      </c>
      <c r="B5" s="5" t="s">
        <v>55</v>
      </c>
      <c r="C5" s="5" t="s">
        <v>57</v>
      </c>
      <c r="D5" s="5" t="s">
        <v>58</v>
      </c>
      <c r="E5" s="5" t="s">
        <v>59</v>
      </c>
      <c r="F5" s="5" t="s">
        <v>61</v>
      </c>
      <c r="G5" s="5" t="s">
        <v>63</v>
      </c>
      <c r="H5" s="5" t="s">
        <v>65</v>
      </c>
      <c r="I5" s="5" t="s">
        <v>66</v>
      </c>
      <c r="J5" s="5" t="s">
        <v>67</v>
      </c>
      <c r="K5" s="5" t="s">
        <v>69</v>
      </c>
      <c r="L5" s="5" t="s">
        <v>73</v>
      </c>
      <c r="M5" s="5" t="s">
        <v>76</v>
      </c>
      <c r="N5" s="5" t="s">
        <v>77</v>
      </c>
      <c r="O5" s="5" t="s">
        <v>79</v>
      </c>
      <c r="P5" s="5" t="s">
        <v>80</v>
      </c>
      <c r="Q5" s="5" t="s">
        <v>82</v>
      </c>
      <c r="R5" s="5" t="s">
        <v>83</v>
      </c>
    </row>
    <row r="6">
      <c r="A6" s="3" t="s">
        <v>38</v>
      </c>
      <c r="B6" s="10">
        <f>Assumptions!$B$11</f>
        <v>149</v>
      </c>
      <c r="C6" s="11">
        <f>Assumptions!$B$13</f>
        <v>100</v>
      </c>
      <c r="D6" s="11">
        <f>C6*Assumptions!$B$30</f>
        <v>65</v>
      </c>
      <c r="E6" s="11">
        <f>D6/Assumptions!$B$15</f>
        <v>32.5</v>
      </c>
      <c r="F6" s="7">
        <f>Assumptions!$B$14*Assumptions!$B$42</f>
        <v>1.15</v>
      </c>
      <c r="G6" s="7">
        <f>D6*Assumptions!$B$41</f>
        <v>0.5525</v>
      </c>
      <c r="H6" s="7">
        <f>D6*Assumptions!$D$72</f>
        <v>5.2</v>
      </c>
      <c r="I6" s="7">
        <f>D6*((Assumptions!$B$47*Assumptions!$B$45/1000000)+(Assumptions!$B$48*Assumptions!$B$46/1000000))</f>
        <v>0</v>
      </c>
      <c r="J6" s="11">
        <f>E6*Assumptions!$B$52+E6*Assumptions!$B$33*Assumptions!$B$53</f>
        <v>0</v>
      </c>
      <c r="K6" s="7">
        <f>J6*Assumptions!$B$51</f>
        <v>0</v>
      </c>
      <c r="L6" s="7">
        <f>Assumptions!$B$55+Assumptions!$B$57</f>
        <v>0</v>
      </c>
      <c r="M6" s="7">
        <f>Assumptions!$B$16*Assumptions!$B$31*Assumptions!$B$38</f>
        <v>25</v>
      </c>
      <c r="N6" s="7">
        <f>Assumptions!$B$17*Assumptions!$B$32*Assumptions!$B$39</f>
        <v>0</v>
      </c>
      <c r="O6" s="7">
        <f t="shared" ref="O6:O8" si="1">SUM(F6:I6,K6:M6)</f>
        <v>31.9025</v>
      </c>
      <c r="P6" s="7">
        <f t="shared" ref="P6:P8" si="2">B6-O6</f>
        <v>117.0975</v>
      </c>
      <c r="Q6" s="7">
        <f t="shared" ref="Q6:Q8" si="3">P6-N6</f>
        <v>117.0975</v>
      </c>
      <c r="R6" s="15">
        <f t="shared" ref="R6:R8" si="4">P6/B6</f>
        <v>0.7858892617</v>
      </c>
    </row>
    <row r="7">
      <c r="A7" s="3" t="s">
        <v>40</v>
      </c>
      <c r="B7" s="10">
        <f>Assumptions!$C$11</f>
        <v>199</v>
      </c>
      <c r="C7" s="11">
        <f>Assumptions!$C$13</f>
        <v>250</v>
      </c>
      <c r="D7" s="11">
        <f>C7*Assumptions!$B$30</f>
        <v>162.5</v>
      </c>
      <c r="E7" s="11">
        <f>D7/Assumptions!$C$15</f>
        <v>81.25</v>
      </c>
      <c r="F7" s="7">
        <f>Assumptions!$C$14*Assumptions!$B$42</f>
        <v>1.15</v>
      </c>
      <c r="G7" s="7">
        <f>D7*Assumptions!$B$41</f>
        <v>1.38125</v>
      </c>
      <c r="H7" s="7">
        <f>D7*Assumptions!$D$72</f>
        <v>13</v>
      </c>
      <c r="I7" s="7">
        <f>D7*((Assumptions!$B$47*Assumptions!$B$45/1000000)+(Assumptions!$B$48*Assumptions!$B$46/1000000))</f>
        <v>0</v>
      </c>
      <c r="J7" s="11">
        <f>E7*Assumptions!$B$52+E7*Assumptions!$B$33*Assumptions!$B$53</f>
        <v>0</v>
      </c>
      <c r="K7" s="7">
        <f>J7*Assumptions!$B$51</f>
        <v>0</v>
      </c>
      <c r="L7" s="7">
        <f>Assumptions!$B$55+Assumptions!$B$57</f>
        <v>0</v>
      </c>
      <c r="M7" s="7">
        <f>Assumptions!$C$16*Assumptions!$B$31*Assumptions!$B$38</f>
        <v>50</v>
      </c>
      <c r="N7" s="7">
        <f>Assumptions!$C$17*Assumptions!$B$32*Assumptions!$B$39</f>
        <v>0</v>
      </c>
      <c r="O7" s="7">
        <f t="shared" si="1"/>
        <v>65.53125</v>
      </c>
      <c r="P7" s="7">
        <f t="shared" si="2"/>
        <v>133.46875</v>
      </c>
      <c r="Q7" s="7">
        <f t="shared" si="3"/>
        <v>133.46875</v>
      </c>
      <c r="R7" s="15">
        <f t="shared" si="4"/>
        <v>0.6706972362</v>
      </c>
    </row>
    <row r="8">
      <c r="A8" s="3" t="s">
        <v>41</v>
      </c>
      <c r="B8" s="10">
        <f>Assumptions!$D$11</f>
        <v>349</v>
      </c>
      <c r="C8" s="11">
        <f>Assumptions!$D$13</f>
        <v>600</v>
      </c>
      <c r="D8" s="11">
        <f>C8*Assumptions!$B$30</f>
        <v>390</v>
      </c>
      <c r="E8" s="11">
        <f>D8/Assumptions!$D$15</f>
        <v>195</v>
      </c>
      <c r="F8" s="7">
        <f>Assumptions!$D$14*Assumptions!$B$42</f>
        <v>2.3</v>
      </c>
      <c r="G8" s="7">
        <f>D8*Assumptions!$B$41</f>
        <v>3.315</v>
      </c>
      <c r="H8" s="7">
        <f>D8*Assumptions!$D$72</f>
        <v>31.2</v>
      </c>
      <c r="I8" s="7">
        <f>D8*((Assumptions!$B$47*Assumptions!$B$45/1000000)+(Assumptions!$B$48*Assumptions!$B$46/1000000))</f>
        <v>0</v>
      </c>
      <c r="J8" s="11">
        <f>E8*Assumptions!$B$52+E8*Assumptions!$B$33*Assumptions!$B$53</f>
        <v>0</v>
      </c>
      <c r="K8" s="7">
        <f>J8*Assumptions!$B$51</f>
        <v>0</v>
      </c>
      <c r="L8" s="7">
        <f>Assumptions!$B$55+Assumptions!$B$57</f>
        <v>0</v>
      </c>
      <c r="M8" s="7">
        <f>Assumptions!$D$16*Assumptions!$B$31*Assumptions!$B$38</f>
        <v>100</v>
      </c>
      <c r="N8" s="7">
        <f>Assumptions!$D$17*Assumptions!$B$32*Assumptions!$B$39</f>
        <v>0</v>
      </c>
      <c r="O8" s="7">
        <f t="shared" si="1"/>
        <v>136.815</v>
      </c>
      <c r="P8" s="7">
        <f t="shared" si="2"/>
        <v>212.185</v>
      </c>
      <c r="Q8" s="7">
        <f t="shared" si="3"/>
        <v>212.185</v>
      </c>
      <c r="R8" s="15">
        <f t="shared" si="4"/>
        <v>0.6079799427</v>
      </c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>
      <c r="A12" s="4" t="s">
        <v>180</v>
      </c>
    </row>
    <row r="13">
      <c r="A13" s="5" t="s">
        <v>181</v>
      </c>
      <c r="B13" s="5" t="s">
        <v>182</v>
      </c>
      <c r="C13" s="5" t="s">
        <v>183</v>
      </c>
      <c r="D13" s="5" t="s">
        <v>184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ht="42.0" customHeight="1">
      <c r="A14" s="29" t="s">
        <v>185</v>
      </c>
      <c r="B14" s="29" t="s">
        <v>31</v>
      </c>
      <c r="C14" s="29" t="s">
        <v>236</v>
      </c>
      <c r="D14" s="29" t="s">
        <v>239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ht="42.0" customHeight="1">
      <c r="A15" s="29" t="s">
        <v>65</v>
      </c>
      <c r="B15" s="29" t="s">
        <v>31</v>
      </c>
      <c r="C15" s="29" t="s">
        <v>249</v>
      </c>
      <c r="D15" s="29" t="s">
        <v>250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ht="42.0" customHeight="1">
      <c r="A16" s="29" t="s">
        <v>66</v>
      </c>
      <c r="B16" s="29" t="s">
        <v>264</v>
      </c>
      <c r="C16" s="29" t="s">
        <v>267</v>
      </c>
      <c r="D16" s="29" t="s">
        <v>270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ht="42.0" customHeight="1">
      <c r="A17" s="29" t="s">
        <v>279</v>
      </c>
      <c r="B17" s="29" t="s">
        <v>282</v>
      </c>
      <c r="C17" s="29" t="s">
        <v>283</v>
      </c>
      <c r="D17" s="29" t="s">
        <v>286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ht="42.0" customHeight="1">
      <c r="A18" s="29" t="s">
        <v>294</v>
      </c>
      <c r="B18" s="29" t="s">
        <v>310</v>
      </c>
      <c r="C18" s="29" t="s">
        <v>312</v>
      </c>
      <c r="D18" s="29" t="s">
        <v>314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R1"/>
    <mergeCell ref="A2:R2"/>
    <mergeCell ref="A4:R4"/>
    <mergeCell ref="A12:R1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0.0"/>
    <col customWidth="1" min="2" max="2" width="15.0"/>
    <col customWidth="1" min="3" max="3" width="19.0"/>
    <col customWidth="1" min="4" max="4" width="30.0"/>
    <col customWidth="1" min="5" max="5" width="16.0"/>
    <col customWidth="1" min="6" max="6" width="42.0"/>
    <col customWidth="1" min="7" max="7" width="6.0"/>
    <col customWidth="1" min="8" max="8" width="22.0"/>
    <col customWidth="1" min="9" max="9" width="19.0"/>
    <col customWidth="1" min="10" max="10" width="31.0"/>
    <col customWidth="1" min="11" max="11" width="40.0"/>
    <col customWidth="1" min="12" max="12" width="18.0"/>
    <col customWidth="1" min="13" max="13" width="27.0"/>
    <col customWidth="1" min="14" max="14" width="40.0"/>
    <col customWidth="1" min="15" max="26" width="8.63"/>
  </cols>
  <sheetData>
    <row r="1" ht="30.0" customHeight="1">
      <c r="A1" s="1" t="s">
        <v>186</v>
      </c>
    </row>
    <row r="2" ht="33.75" customHeight="1">
      <c r="A2" s="2" t="s">
        <v>187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>
      <c r="A4" s="4" t="s">
        <v>191</v>
      </c>
    </row>
    <row r="5">
      <c r="A5" s="5" t="s">
        <v>48</v>
      </c>
      <c r="B5" s="5" t="s">
        <v>45</v>
      </c>
      <c r="C5" s="5" t="s">
        <v>56</v>
      </c>
      <c r="D5" s="5" t="s">
        <v>193</v>
      </c>
      <c r="E5" s="5" t="s">
        <v>194</v>
      </c>
      <c r="F5" s="5" t="s">
        <v>195</v>
      </c>
      <c r="G5" s="5" t="s">
        <v>196</v>
      </c>
      <c r="H5" s="5" t="s">
        <v>197</v>
      </c>
      <c r="I5" s="5" t="s">
        <v>198</v>
      </c>
      <c r="J5" s="5" t="s">
        <v>199</v>
      </c>
      <c r="K5" s="5" t="s">
        <v>200</v>
      </c>
      <c r="L5" s="5" t="s">
        <v>201</v>
      </c>
      <c r="M5" s="5" t="s">
        <v>203</v>
      </c>
      <c r="N5" s="5" t="s">
        <v>204</v>
      </c>
    </row>
    <row r="6">
      <c r="A6" s="3" t="s">
        <v>38</v>
      </c>
      <c r="B6" s="10">
        <f>Assumptions!$B$11</f>
        <v>149</v>
      </c>
      <c r="C6" s="10">
        <f>Assumptions!$B$12</f>
        <v>299</v>
      </c>
      <c r="D6" s="11">
        <f>Assumptions!$B$13</f>
        <v>100</v>
      </c>
      <c r="E6" s="11">
        <f>Assumptions!$B$15</f>
        <v>2</v>
      </c>
      <c r="F6" s="11">
        <f>Assumptions!$B$14</f>
        <v>1</v>
      </c>
      <c r="G6" s="11">
        <f>Assumptions!$B$16</f>
        <v>2</v>
      </c>
      <c r="H6" s="11">
        <f>Assumptions!$B$17</f>
        <v>0.5</v>
      </c>
      <c r="I6" s="3" t="s">
        <v>31</v>
      </c>
      <c r="J6" s="3" t="s">
        <v>31</v>
      </c>
      <c r="K6" s="3" t="s">
        <v>31</v>
      </c>
      <c r="L6" s="3" t="s">
        <v>210</v>
      </c>
      <c r="M6" s="3" t="s">
        <v>211</v>
      </c>
      <c r="N6" s="3" t="s">
        <v>212</v>
      </c>
    </row>
    <row r="7">
      <c r="A7" s="3" t="s">
        <v>40</v>
      </c>
      <c r="B7" s="10">
        <f>Assumptions!$C$11</f>
        <v>199</v>
      </c>
      <c r="C7" s="10">
        <f>Assumptions!$C$12</f>
        <v>499</v>
      </c>
      <c r="D7" s="11">
        <f>Assumptions!$C$13</f>
        <v>250</v>
      </c>
      <c r="E7" s="11">
        <f>Assumptions!$C$15</f>
        <v>2</v>
      </c>
      <c r="F7" s="11">
        <f>Assumptions!$C$14</f>
        <v>1</v>
      </c>
      <c r="G7" s="11">
        <f>Assumptions!$C$16</f>
        <v>4</v>
      </c>
      <c r="H7" s="11">
        <f>Assumptions!$C$17</f>
        <v>1</v>
      </c>
      <c r="I7" s="3" t="s">
        <v>31</v>
      </c>
      <c r="J7" s="3" t="s">
        <v>31</v>
      </c>
      <c r="K7" s="3" t="s">
        <v>31</v>
      </c>
      <c r="L7" s="3" t="s">
        <v>232</v>
      </c>
      <c r="M7" s="3" t="s">
        <v>234</v>
      </c>
      <c r="N7" s="3" t="s">
        <v>237</v>
      </c>
    </row>
    <row r="8">
      <c r="A8" s="3" t="s">
        <v>41</v>
      </c>
      <c r="B8" s="10">
        <f>Assumptions!$D$11</f>
        <v>349</v>
      </c>
      <c r="C8" s="10">
        <f>Assumptions!$D$12</f>
        <v>799</v>
      </c>
      <c r="D8" s="11">
        <f>Assumptions!$D$13</f>
        <v>600</v>
      </c>
      <c r="E8" s="11">
        <f>Assumptions!$D$15</f>
        <v>2</v>
      </c>
      <c r="F8" s="11">
        <f>Assumptions!$D$14</f>
        <v>2</v>
      </c>
      <c r="G8" s="11">
        <f>Assumptions!$D$16</f>
        <v>8</v>
      </c>
      <c r="H8" s="11">
        <f>Assumptions!$D$17</f>
        <v>2</v>
      </c>
      <c r="I8" s="3" t="s">
        <v>31</v>
      </c>
      <c r="J8" s="3" t="s">
        <v>31</v>
      </c>
      <c r="K8" s="3" t="s">
        <v>31</v>
      </c>
      <c r="L8" s="3" t="s">
        <v>262</v>
      </c>
      <c r="M8" s="3" t="s">
        <v>263</v>
      </c>
      <c r="N8" s="3" t="s">
        <v>265</v>
      </c>
    </row>
    <row r="9">
      <c r="A9" s="3" t="s">
        <v>268</v>
      </c>
      <c r="B9" s="3" t="s">
        <v>271</v>
      </c>
      <c r="C9" s="3" t="s">
        <v>271</v>
      </c>
      <c r="D9" s="3" t="s">
        <v>271</v>
      </c>
      <c r="E9" s="3" t="s">
        <v>271</v>
      </c>
      <c r="F9" s="3" t="s">
        <v>271</v>
      </c>
      <c r="G9" s="3" t="s">
        <v>273</v>
      </c>
      <c r="H9" s="3" t="s">
        <v>271</v>
      </c>
      <c r="I9" s="3" t="s">
        <v>31</v>
      </c>
      <c r="J9" s="3" t="s">
        <v>31</v>
      </c>
      <c r="K9" s="3" t="s">
        <v>271</v>
      </c>
      <c r="L9" s="3" t="s">
        <v>271</v>
      </c>
      <c r="M9" s="3" t="s">
        <v>276</v>
      </c>
      <c r="N9" s="3" t="s">
        <v>278</v>
      </c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>
      <c r="A12" s="4" t="s">
        <v>304</v>
      </c>
      <c r="G12" s="3"/>
      <c r="H12" s="4" t="s">
        <v>308</v>
      </c>
    </row>
    <row r="13">
      <c r="A13" s="5" t="s">
        <v>311</v>
      </c>
      <c r="B13" s="5" t="s">
        <v>315</v>
      </c>
      <c r="C13" s="5" t="s">
        <v>12</v>
      </c>
      <c r="D13" s="5" t="s">
        <v>318</v>
      </c>
      <c r="E13" s="5" t="s">
        <v>43</v>
      </c>
      <c r="F13" s="5" t="s">
        <v>44</v>
      </c>
      <c r="G13" s="3"/>
      <c r="H13" s="5" t="s">
        <v>325</v>
      </c>
      <c r="I13" s="5" t="s">
        <v>326</v>
      </c>
      <c r="J13" s="5" t="s">
        <v>327</v>
      </c>
      <c r="K13" s="5" t="s">
        <v>329</v>
      </c>
      <c r="L13" s="3"/>
      <c r="M13" s="3"/>
      <c r="N13" s="3"/>
    </row>
    <row r="14" ht="30.75" customHeight="1">
      <c r="A14" s="29" t="s">
        <v>331</v>
      </c>
      <c r="B14" s="31">
        <v>25.0</v>
      </c>
      <c r="C14" s="29" t="s">
        <v>29</v>
      </c>
      <c r="D14" s="29" t="s">
        <v>335</v>
      </c>
      <c r="E14" s="29" t="s">
        <v>231</v>
      </c>
      <c r="F14" s="29" t="s">
        <v>337</v>
      </c>
      <c r="G14" s="3"/>
      <c r="H14" s="29" t="s">
        <v>340</v>
      </c>
      <c r="I14" s="29" t="s">
        <v>31</v>
      </c>
      <c r="J14" s="29" t="s">
        <v>344</v>
      </c>
      <c r="K14" s="29" t="s">
        <v>346</v>
      </c>
      <c r="L14" s="3"/>
      <c r="M14" s="3"/>
      <c r="N14" s="3"/>
    </row>
    <row r="15" ht="30.75" customHeight="1">
      <c r="A15" s="29" t="s">
        <v>350</v>
      </c>
      <c r="B15" s="31">
        <v>0.3</v>
      </c>
      <c r="C15" s="29" t="s">
        <v>352</v>
      </c>
      <c r="D15" s="29" t="s">
        <v>335</v>
      </c>
      <c r="E15" s="29" t="s">
        <v>231</v>
      </c>
      <c r="F15" s="29" t="s">
        <v>354</v>
      </c>
      <c r="G15" s="3"/>
      <c r="H15" s="29" t="s">
        <v>355</v>
      </c>
      <c r="I15" s="29" t="s">
        <v>31</v>
      </c>
      <c r="J15" s="29" t="s">
        <v>357</v>
      </c>
      <c r="K15" s="29" t="s">
        <v>358</v>
      </c>
      <c r="L15" s="3"/>
      <c r="M15" s="3"/>
      <c r="N15" s="3"/>
    </row>
    <row r="16" ht="30.75" customHeight="1">
      <c r="A16" s="29" t="s">
        <v>359</v>
      </c>
      <c r="B16" s="31">
        <v>15.0</v>
      </c>
      <c r="C16" s="29" t="s">
        <v>29</v>
      </c>
      <c r="D16" s="29" t="s">
        <v>362</v>
      </c>
      <c r="E16" s="29" t="s">
        <v>231</v>
      </c>
      <c r="F16" s="29" t="s">
        <v>364</v>
      </c>
      <c r="G16" s="3"/>
      <c r="H16" s="29" t="s">
        <v>366</v>
      </c>
      <c r="I16" s="29" t="s">
        <v>31</v>
      </c>
      <c r="J16" s="29" t="s">
        <v>369</v>
      </c>
      <c r="K16" s="29" t="s">
        <v>370</v>
      </c>
      <c r="L16" s="3"/>
      <c r="M16" s="3"/>
      <c r="N16" s="3"/>
    </row>
    <row r="17" ht="30.75" customHeight="1">
      <c r="A17" s="29" t="s">
        <v>372</v>
      </c>
      <c r="B17" s="31">
        <v>39.0</v>
      </c>
      <c r="C17" s="29" t="s">
        <v>29</v>
      </c>
      <c r="D17" s="29" t="s">
        <v>375</v>
      </c>
      <c r="E17" s="29" t="s">
        <v>231</v>
      </c>
      <c r="F17" s="29" t="s">
        <v>376</v>
      </c>
      <c r="G17" s="3"/>
      <c r="H17" s="29" t="s">
        <v>378</v>
      </c>
      <c r="I17" s="29" t="s">
        <v>31</v>
      </c>
      <c r="J17" s="29" t="s">
        <v>380</v>
      </c>
      <c r="K17" s="29" t="s">
        <v>382</v>
      </c>
      <c r="L17" s="3"/>
      <c r="M17" s="3"/>
      <c r="N17" s="3"/>
    </row>
    <row r="18" ht="30.75" customHeight="1">
      <c r="A18" s="29" t="s">
        <v>385</v>
      </c>
      <c r="B18" s="31">
        <v>85.0</v>
      </c>
      <c r="C18" s="29" t="s">
        <v>387</v>
      </c>
      <c r="D18" s="29" t="s">
        <v>388</v>
      </c>
      <c r="E18" s="29" t="s">
        <v>231</v>
      </c>
      <c r="F18" s="29" t="s">
        <v>391</v>
      </c>
      <c r="G18" s="3"/>
      <c r="H18" s="29" t="s">
        <v>392</v>
      </c>
      <c r="I18" s="29" t="s">
        <v>31</v>
      </c>
      <c r="J18" s="29" t="s">
        <v>394</v>
      </c>
      <c r="K18" s="29" t="s">
        <v>396</v>
      </c>
      <c r="L18" s="3"/>
      <c r="M18" s="3"/>
      <c r="N18" s="3"/>
    </row>
    <row r="19" ht="30.75" customHeight="1">
      <c r="A19" s="29" t="s">
        <v>398</v>
      </c>
      <c r="B19" s="31">
        <v>49.0</v>
      </c>
      <c r="C19" s="29" t="s">
        <v>29</v>
      </c>
      <c r="D19" s="29" t="s">
        <v>399</v>
      </c>
      <c r="E19" s="29" t="s">
        <v>231</v>
      </c>
      <c r="F19" s="29" t="s">
        <v>400</v>
      </c>
      <c r="G19" s="3"/>
      <c r="H19" s="29" t="s">
        <v>401</v>
      </c>
      <c r="I19" s="29" t="s">
        <v>96</v>
      </c>
      <c r="J19" s="29" t="s">
        <v>402</v>
      </c>
      <c r="K19" s="29" t="s">
        <v>403</v>
      </c>
      <c r="L19" s="3"/>
      <c r="M19" s="3"/>
      <c r="N19" s="3"/>
    </row>
    <row r="20" ht="30.75" customHeight="1">
      <c r="A20" s="29" t="s">
        <v>404</v>
      </c>
      <c r="B20" s="31">
        <v>29.0</v>
      </c>
      <c r="C20" s="29" t="s">
        <v>29</v>
      </c>
      <c r="D20" s="29" t="s">
        <v>406</v>
      </c>
      <c r="E20" s="29" t="s">
        <v>407</v>
      </c>
      <c r="F20" s="29" t="s">
        <v>408</v>
      </c>
      <c r="G20" s="3"/>
      <c r="H20" s="29" t="s">
        <v>409</v>
      </c>
      <c r="I20" s="29" t="s">
        <v>311</v>
      </c>
      <c r="J20" s="29" t="s">
        <v>410</v>
      </c>
      <c r="K20" s="29" t="s">
        <v>411</v>
      </c>
      <c r="L20" s="3"/>
      <c r="M20" s="3"/>
      <c r="N20" s="3"/>
    </row>
    <row r="21" ht="30.75" customHeight="1">
      <c r="A21" s="29" t="s">
        <v>413</v>
      </c>
      <c r="B21" s="31">
        <v>149.0</v>
      </c>
      <c r="C21" s="29" t="s">
        <v>100</v>
      </c>
      <c r="D21" s="29" t="s">
        <v>414</v>
      </c>
      <c r="E21" s="29" t="s">
        <v>407</v>
      </c>
      <c r="F21" s="29" t="s">
        <v>416</v>
      </c>
      <c r="G21" s="3"/>
      <c r="H21" s="29" t="s">
        <v>417</v>
      </c>
      <c r="I21" s="29" t="s">
        <v>418</v>
      </c>
      <c r="J21" s="29" t="s">
        <v>419</v>
      </c>
      <c r="K21" s="29" t="s">
        <v>420</v>
      </c>
      <c r="L21" s="3"/>
      <c r="M21" s="3"/>
      <c r="N21" s="3"/>
    </row>
    <row r="22" ht="30.75" customHeight="1">
      <c r="A22" s="29" t="s">
        <v>421</v>
      </c>
      <c r="B22" s="31">
        <v>25.0</v>
      </c>
      <c r="C22" s="29" t="s">
        <v>422</v>
      </c>
      <c r="D22" s="29" t="s">
        <v>423</v>
      </c>
      <c r="E22" s="29" t="s">
        <v>407</v>
      </c>
      <c r="F22" s="29" t="s">
        <v>424</v>
      </c>
      <c r="G22" s="3"/>
      <c r="H22" s="3"/>
      <c r="I22" s="3"/>
      <c r="J22" s="3"/>
      <c r="K22" s="3"/>
      <c r="L22" s="3"/>
      <c r="M22" s="3"/>
      <c r="N22" s="3"/>
    </row>
    <row r="23" ht="30.75" customHeight="1">
      <c r="A23" s="29" t="s">
        <v>426</v>
      </c>
      <c r="B23" s="31">
        <v>19.0</v>
      </c>
      <c r="C23" s="29" t="s">
        <v>29</v>
      </c>
      <c r="D23" s="29" t="s">
        <v>427</v>
      </c>
      <c r="E23" s="29" t="s">
        <v>407</v>
      </c>
      <c r="F23" s="29" t="s">
        <v>428</v>
      </c>
      <c r="G23" s="3"/>
      <c r="H23" s="3"/>
      <c r="I23" s="3"/>
      <c r="J23" s="3"/>
      <c r="K23" s="3"/>
      <c r="L23" s="3"/>
      <c r="M23" s="3"/>
      <c r="N23" s="3"/>
    </row>
    <row r="24" ht="30.75" customHeight="1">
      <c r="A24" s="29" t="s">
        <v>433</v>
      </c>
      <c r="B24" s="31">
        <v>49.0</v>
      </c>
      <c r="C24" s="29" t="s">
        <v>29</v>
      </c>
      <c r="D24" s="29" t="s">
        <v>434</v>
      </c>
      <c r="E24" s="29" t="s">
        <v>407</v>
      </c>
      <c r="F24" s="29" t="s">
        <v>435</v>
      </c>
      <c r="G24" s="3"/>
      <c r="H24" s="3"/>
      <c r="I24" s="3"/>
      <c r="J24" s="3"/>
      <c r="K24" s="3"/>
      <c r="L24" s="3"/>
      <c r="M24" s="3"/>
      <c r="N24" s="3"/>
    </row>
    <row r="25" ht="30.75" customHeight="1">
      <c r="A25" s="29" t="s">
        <v>437</v>
      </c>
      <c r="B25" s="31">
        <v>39.0</v>
      </c>
      <c r="C25" s="29" t="s">
        <v>29</v>
      </c>
      <c r="D25" s="29" t="s">
        <v>439</v>
      </c>
      <c r="E25" s="29" t="s">
        <v>407</v>
      </c>
      <c r="F25" s="29" t="s">
        <v>441</v>
      </c>
      <c r="G25" s="3"/>
      <c r="H25" s="3"/>
      <c r="I25" s="3"/>
      <c r="J25" s="3"/>
      <c r="K25" s="3"/>
      <c r="L25" s="3"/>
      <c r="M25" s="3"/>
      <c r="N25" s="3"/>
    </row>
    <row r="26" ht="30.75" customHeight="1">
      <c r="A26" s="29" t="s">
        <v>445</v>
      </c>
      <c r="B26" s="31">
        <v>149.0</v>
      </c>
      <c r="C26" s="29" t="s">
        <v>448</v>
      </c>
      <c r="D26" s="29" t="s">
        <v>388</v>
      </c>
      <c r="E26" s="29" t="s">
        <v>231</v>
      </c>
      <c r="F26" s="29" t="s">
        <v>449</v>
      </c>
      <c r="G26" s="3"/>
      <c r="H26" s="3"/>
      <c r="I26" s="3"/>
      <c r="J26" s="3"/>
      <c r="K26" s="3"/>
      <c r="L26" s="3"/>
      <c r="M26" s="3"/>
      <c r="N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N1"/>
    <mergeCell ref="A2:N2"/>
    <mergeCell ref="A4:N4"/>
    <mergeCell ref="A12:F12"/>
    <mergeCell ref="H12:N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0"/>
    <col customWidth="1" min="2" max="2" width="15.0"/>
    <col customWidth="1" min="3" max="3" width="14.0"/>
    <col customWidth="1" min="4" max="4" width="18.0"/>
    <col customWidth="1" min="5" max="5" width="14.0"/>
    <col customWidth="1" min="6" max="6" width="15.0"/>
    <col customWidth="1" min="7" max="7" width="17.0"/>
    <col customWidth="1" min="8" max="8" width="18.0"/>
    <col customWidth="1" min="9" max="9" width="20.0"/>
    <col customWidth="1" min="10" max="10" width="22.0"/>
    <col customWidth="1" min="11" max="11" width="13.0"/>
    <col customWidth="1" min="12" max="26" width="8.63"/>
  </cols>
  <sheetData>
    <row r="1" ht="30.0" customHeight="1">
      <c r="A1" s="1" t="s">
        <v>458</v>
      </c>
    </row>
    <row r="2" ht="33.75" customHeight="1">
      <c r="A2" s="2" t="s">
        <v>459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4" t="s">
        <v>460</v>
      </c>
    </row>
    <row r="5">
      <c r="A5" s="5" t="s">
        <v>48</v>
      </c>
      <c r="B5" s="5" t="s">
        <v>56</v>
      </c>
      <c r="C5" s="5" t="s">
        <v>461</v>
      </c>
      <c r="D5" s="5" t="s">
        <v>462</v>
      </c>
      <c r="E5" s="5" t="s">
        <v>463</v>
      </c>
      <c r="F5" s="5" t="s">
        <v>464</v>
      </c>
      <c r="G5" s="5" t="s">
        <v>465</v>
      </c>
      <c r="H5" s="5" t="s">
        <v>466</v>
      </c>
      <c r="I5" s="5" t="s">
        <v>80</v>
      </c>
      <c r="J5" s="5" t="s">
        <v>467</v>
      </c>
      <c r="K5" s="5" t="s">
        <v>83</v>
      </c>
    </row>
    <row r="6">
      <c r="A6" s="3" t="s">
        <v>38</v>
      </c>
      <c r="B6" s="10">
        <f>Assumptions!$B$12</f>
        <v>299</v>
      </c>
      <c r="C6" s="11">
        <f>Assumptions!$B$18</f>
        <v>6</v>
      </c>
      <c r="D6" s="7">
        <f>C6*Assumptions!$B$38</f>
        <v>150</v>
      </c>
      <c r="E6" s="11">
        <f>Assumptions!$B$19</f>
        <v>3</v>
      </c>
      <c r="F6" s="7">
        <f>E6*Assumptions!$B$39</f>
        <v>0</v>
      </c>
      <c r="G6" s="36">
        <v>0.0</v>
      </c>
      <c r="H6" s="12">
        <f t="shared" ref="H6:H8" si="1">D6+G6</f>
        <v>150</v>
      </c>
      <c r="I6" s="12">
        <f t="shared" ref="I6:I8" si="2">B6-H6</f>
        <v>149</v>
      </c>
      <c r="J6" s="12">
        <f t="shared" ref="J6:J8" si="3">I6-F6</f>
        <v>149</v>
      </c>
      <c r="K6" s="37">
        <f t="shared" ref="K6:K8" si="4">I6/B6</f>
        <v>0.4983277592</v>
      </c>
    </row>
    <row r="7">
      <c r="A7" s="3" t="s">
        <v>40</v>
      </c>
      <c r="B7" s="10">
        <f>Assumptions!$C$12</f>
        <v>499</v>
      </c>
      <c r="C7" s="11">
        <f>Assumptions!$C$18</f>
        <v>10</v>
      </c>
      <c r="D7" s="7">
        <f>C7*Assumptions!$B$38</f>
        <v>250</v>
      </c>
      <c r="E7" s="11">
        <f>Assumptions!$C$19</f>
        <v>4</v>
      </c>
      <c r="F7" s="7">
        <f>E7*Assumptions!$B$39</f>
        <v>0</v>
      </c>
      <c r="G7" s="36">
        <v>0.0</v>
      </c>
      <c r="H7" s="12">
        <f t="shared" si="1"/>
        <v>250</v>
      </c>
      <c r="I7" s="12">
        <f t="shared" si="2"/>
        <v>249</v>
      </c>
      <c r="J7" s="12">
        <f t="shared" si="3"/>
        <v>249</v>
      </c>
      <c r="K7" s="37">
        <f t="shared" si="4"/>
        <v>0.498997996</v>
      </c>
    </row>
    <row r="8">
      <c r="A8" s="3" t="s">
        <v>41</v>
      </c>
      <c r="B8" s="10">
        <f>Assumptions!$D$12</f>
        <v>799</v>
      </c>
      <c r="C8" s="11">
        <f>Assumptions!$D$18</f>
        <v>16</v>
      </c>
      <c r="D8" s="7">
        <f>C8*Assumptions!$B$38</f>
        <v>400</v>
      </c>
      <c r="E8" s="11">
        <f>Assumptions!$D$19</f>
        <v>6</v>
      </c>
      <c r="F8" s="7">
        <f>E8*Assumptions!$B$39</f>
        <v>0</v>
      </c>
      <c r="G8" s="36">
        <v>0.0</v>
      </c>
      <c r="H8" s="12">
        <f t="shared" si="1"/>
        <v>400</v>
      </c>
      <c r="I8" s="12">
        <f t="shared" si="2"/>
        <v>399</v>
      </c>
      <c r="J8" s="12">
        <f t="shared" si="3"/>
        <v>399</v>
      </c>
      <c r="K8" s="37">
        <f t="shared" si="4"/>
        <v>0.4993742178</v>
      </c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s="4" t="s">
        <v>485</v>
      </c>
      <c r="J12" s="3"/>
      <c r="K12" s="3"/>
    </row>
    <row r="13">
      <c r="A13" s="5" t="s">
        <v>486</v>
      </c>
      <c r="B13" s="5" t="s">
        <v>487</v>
      </c>
      <c r="C13" s="5" t="s">
        <v>488</v>
      </c>
      <c r="D13" s="5" t="s">
        <v>489</v>
      </c>
      <c r="E13" s="5" t="s">
        <v>463</v>
      </c>
      <c r="F13" s="5" t="s">
        <v>77</v>
      </c>
      <c r="G13" s="5" t="s">
        <v>465</v>
      </c>
      <c r="H13" s="5" t="s">
        <v>80</v>
      </c>
      <c r="I13" s="5" t="s">
        <v>467</v>
      </c>
      <c r="J13" s="3"/>
      <c r="K13" s="3"/>
    </row>
    <row r="14">
      <c r="A14" s="3">
        <v>1.0</v>
      </c>
      <c r="B14" s="12">
        <f t="shared" ref="B14:B17" si="5">A14*$B$6</f>
        <v>299</v>
      </c>
      <c r="C14" s="41">
        <f t="shared" ref="C14:C17" si="6">A14*$C$6</f>
        <v>6</v>
      </c>
      <c r="D14" s="12">
        <f t="shared" ref="D14:D17" si="7">A14*$D$6</f>
        <v>150</v>
      </c>
      <c r="E14" s="41">
        <f t="shared" ref="E14:E17" si="8">A14*$E$6</f>
        <v>3</v>
      </c>
      <c r="F14" s="12">
        <f t="shared" ref="F14:F17" si="9">A14*$F$6</f>
        <v>0</v>
      </c>
      <c r="G14" s="12">
        <f t="shared" ref="G14:G17" si="10">A14*$G$6</f>
        <v>0</v>
      </c>
      <c r="H14" s="12">
        <f t="shared" ref="H14:H17" si="11">B14-D14-G14</f>
        <v>149</v>
      </c>
      <c r="I14" s="12">
        <f t="shared" ref="I14:I17" si="12">H14-F14</f>
        <v>149</v>
      </c>
      <c r="J14" s="3"/>
      <c r="K14" s="3"/>
    </row>
    <row r="15">
      <c r="A15" s="3">
        <v>5.0</v>
      </c>
      <c r="B15" s="12">
        <f t="shared" si="5"/>
        <v>1495</v>
      </c>
      <c r="C15" s="41">
        <f t="shared" si="6"/>
        <v>30</v>
      </c>
      <c r="D15" s="12">
        <f t="shared" si="7"/>
        <v>750</v>
      </c>
      <c r="E15" s="41">
        <f t="shared" si="8"/>
        <v>15</v>
      </c>
      <c r="F15" s="12">
        <f t="shared" si="9"/>
        <v>0</v>
      </c>
      <c r="G15" s="12">
        <f t="shared" si="10"/>
        <v>0</v>
      </c>
      <c r="H15" s="12">
        <f t="shared" si="11"/>
        <v>745</v>
      </c>
      <c r="I15" s="12">
        <f t="shared" si="12"/>
        <v>745</v>
      </c>
      <c r="J15" s="3"/>
      <c r="K15" s="3"/>
    </row>
    <row r="16">
      <c r="A16" s="3">
        <v>10.0</v>
      </c>
      <c r="B16" s="12">
        <f t="shared" si="5"/>
        <v>2990</v>
      </c>
      <c r="C16" s="41">
        <f t="shared" si="6"/>
        <v>60</v>
      </c>
      <c r="D16" s="12">
        <f t="shared" si="7"/>
        <v>1500</v>
      </c>
      <c r="E16" s="41">
        <f t="shared" si="8"/>
        <v>30</v>
      </c>
      <c r="F16" s="12">
        <f t="shared" si="9"/>
        <v>0</v>
      </c>
      <c r="G16" s="12">
        <f t="shared" si="10"/>
        <v>0</v>
      </c>
      <c r="H16" s="12">
        <f t="shared" si="11"/>
        <v>1490</v>
      </c>
      <c r="I16" s="12">
        <f t="shared" si="12"/>
        <v>1490</v>
      </c>
      <c r="J16" s="3"/>
      <c r="K16" s="3"/>
    </row>
    <row r="17">
      <c r="A17" s="3">
        <v>20.0</v>
      </c>
      <c r="B17" s="12">
        <f t="shared" si="5"/>
        <v>5980</v>
      </c>
      <c r="C17" s="41">
        <f t="shared" si="6"/>
        <v>120</v>
      </c>
      <c r="D17" s="12">
        <f t="shared" si="7"/>
        <v>3000</v>
      </c>
      <c r="E17" s="41">
        <f t="shared" si="8"/>
        <v>60</v>
      </c>
      <c r="F17" s="12">
        <f t="shared" si="9"/>
        <v>0</v>
      </c>
      <c r="G17" s="12">
        <f t="shared" si="10"/>
        <v>0</v>
      </c>
      <c r="H17" s="12">
        <f t="shared" si="11"/>
        <v>2980</v>
      </c>
      <c r="I17" s="12">
        <f t="shared" si="12"/>
        <v>2980</v>
      </c>
      <c r="J17" s="3"/>
      <c r="K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K1"/>
    <mergeCell ref="A2:K2"/>
    <mergeCell ref="A4:K4"/>
    <mergeCell ref="A12:I1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0"/>
    <col customWidth="1" min="2" max="2" width="14.0"/>
    <col customWidth="1" min="3" max="3" width="18.0"/>
    <col customWidth="1" min="4" max="4" width="13.0"/>
    <col customWidth="1" min="5" max="5" width="18.0"/>
    <col customWidth="1" min="6" max="6" width="13.0"/>
    <col customWidth="1" min="7" max="7" width="17.0"/>
    <col customWidth="1" min="8" max="8" width="13.0"/>
    <col customWidth="1" min="9" max="9" width="14.0"/>
    <col customWidth="1" min="10" max="10" width="15.0"/>
    <col customWidth="1" min="11" max="11" width="13.0"/>
    <col customWidth="1" min="12" max="12" width="14.0"/>
    <col customWidth="1" min="13" max="13" width="15.0"/>
    <col customWidth="1" min="14" max="15" width="14.0"/>
    <col customWidth="1" min="16" max="16" width="15.0"/>
    <col customWidth="1" min="17" max="17" width="16.0"/>
    <col customWidth="1" min="18" max="18" width="13.0"/>
    <col customWidth="1" min="19" max="19" width="11.0"/>
    <col customWidth="1" min="20" max="24" width="13.0"/>
    <col customWidth="1" min="25" max="25" width="16.0"/>
    <col customWidth="1" min="26" max="26" width="8.63"/>
  </cols>
  <sheetData>
    <row r="1" ht="30.0" customHeight="1">
      <c r="A1" s="1" t="s">
        <v>468</v>
      </c>
    </row>
    <row r="2" ht="33.75" customHeight="1">
      <c r="A2" s="2" t="s">
        <v>469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7.75" customHeight="1">
      <c r="A4" s="29" t="s">
        <v>7</v>
      </c>
      <c r="B4" s="38" t="str">
        <f>Assumptions!$B$5</f>
        <v>Expected</v>
      </c>
      <c r="C4" s="38" t="s">
        <v>170</v>
      </c>
      <c r="D4" s="39">
        <f>Assumptions!$B$11</f>
        <v>149</v>
      </c>
      <c r="E4" s="38" t="s">
        <v>470</v>
      </c>
      <c r="F4" s="40">
        <f>Assumptions!$B$30</f>
        <v>0.65</v>
      </c>
      <c r="G4" s="40" t="s">
        <v>471</v>
      </c>
      <c r="H4" s="40">
        <f>Assumptions!$B$31</f>
        <v>0.5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4" t="s">
        <v>472</v>
      </c>
    </row>
    <row r="7">
      <c r="A7" s="5" t="s">
        <v>220</v>
      </c>
      <c r="B7" s="5" t="s">
        <v>473</v>
      </c>
      <c r="C7" s="5" t="s">
        <v>474</v>
      </c>
      <c r="D7" s="5" t="s">
        <v>475</v>
      </c>
      <c r="E7" s="5" t="s">
        <v>195</v>
      </c>
      <c r="F7" s="5" t="s">
        <v>63</v>
      </c>
      <c r="G7" s="5" t="s">
        <v>65</v>
      </c>
      <c r="H7" s="5" t="s">
        <v>66</v>
      </c>
      <c r="I7" s="5" t="s">
        <v>67</v>
      </c>
      <c r="J7" s="5" t="s">
        <v>279</v>
      </c>
      <c r="K7" s="5" t="s">
        <v>476</v>
      </c>
      <c r="L7" s="5" t="s">
        <v>73</v>
      </c>
      <c r="M7" s="5" t="s">
        <v>76</v>
      </c>
      <c r="N7" s="5" t="s">
        <v>77</v>
      </c>
      <c r="O7" s="5" t="s">
        <v>477</v>
      </c>
      <c r="P7" s="5" t="s">
        <v>222</v>
      </c>
      <c r="Q7" s="5" t="s">
        <v>82</v>
      </c>
      <c r="R7" s="5" t="s">
        <v>83</v>
      </c>
      <c r="S7" s="5" t="s">
        <v>478</v>
      </c>
      <c r="T7" s="5" t="s">
        <v>479</v>
      </c>
      <c r="U7" s="5" t="s">
        <v>480</v>
      </c>
      <c r="V7" s="5" t="s">
        <v>481</v>
      </c>
      <c r="W7" s="5" t="s">
        <v>482</v>
      </c>
      <c r="X7" s="5" t="s">
        <v>483</v>
      </c>
      <c r="Y7" s="5" t="s">
        <v>484</v>
      </c>
    </row>
    <row r="8">
      <c r="A8" s="3">
        <v>1.0</v>
      </c>
      <c r="B8" s="30">
        <f>A8*Assumptions!$B$11</f>
        <v>149</v>
      </c>
      <c r="C8" s="41">
        <f>A8*Assumptions!$B$13*Assumptions!$B$30+Assumptions!$B$59</f>
        <v>65</v>
      </c>
      <c r="D8" s="41">
        <f>C8/Assumptions!$B$15</f>
        <v>32.5</v>
      </c>
      <c r="E8" s="12">
        <f>(A8*Assumptions!$B$14+Assumptions!$B$60)*Assumptions!$B$42</f>
        <v>2.3</v>
      </c>
      <c r="F8" s="12">
        <f>C8*Assumptions!$B$41</f>
        <v>0.5525</v>
      </c>
      <c r="G8" s="12">
        <f t="shared" ref="G8:G17" si="1">MIN(T8:X8)</f>
        <v>6</v>
      </c>
      <c r="H8" s="12">
        <f>C8*((Assumptions!$B$47*Assumptions!$B$45/1000000)+(Assumptions!$B$48*Assumptions!$B$46/1000000))</f>
        <v>0</v>
      </c>
      <c r="I8" s="41">
        <f>D8*Assumptions!$B$52+D8*Assumptions!$B$33*Assumptions!$B$53</f>
        <v>0</v>
      </c>
      <c r="J8" s="12">
        <f>MAX(0,I8-Assumptions!$B$50)*Assumptions!$B$51</f>
        <v>0</v>
      </c>
      <c r="K8" s="12">
        <f>B8*Assumptions!$B$61</f>
        <v>0</v>
      </c>
      <c r="L8" s="12">
        <f>A8*(Assumptions!$B$55+Assumptions!$B$57)</f>
        <v>0</v>
      </c>
      <c r="M8" s="12">
        <f>A8*Assumptions!$B$16*Assumptions!$B$31*Assumptions!$B$38</f>
        <v>25</v>
      </c>
      <c r="N8" s="12">
        <f>A8*Assumptions!$B$17*Assumptions!$B$32*Assumptions!$B$39</f>
        <v>0</v>
      </c>
      <c r="O8" s="12">
        <f>'Fixed Operating Costs'!$G$20</f>
        <v>49.99</v>
      </c>
      <c r="P8" s="12">
        <f t="shared" ref="P8:P17" si="2">B8-SUM(E8:H8,J8:M8,O8)</f>
        <v>65.1575</v>
      </c>
      <c r="Q8" s="12">
        <f t="shared" ref="Q8:Q17" si="3">P8-N8</f>
        <v>65.1575</v>
      </c>
      <c r="R8" s="37">
        <f t="shared" ref="R8:R17" si="4">P8/B8</f>
        <v>0.4372986577</v>
      </c>
      <c r="S8" s="42">
        <f>(A8*Assumptions!$B$16*Assumptions!$B$31)/Assumptions!$B$40</f>
        <v>0.008333333333</v>
      </c>
      <c r="T8" s="12">
        <f>Assumptions!$B$72+MAX(0,C8-Assumptions!$C$72)*Assumptions!$D$72</f>
        <v>6</v>
      </c>
      <c r="U8" s="12">
        <f>Assumptions!$B$73+MAX(0,C8-Assumptions!$C$73)*Assumptions!$D$73</f>
        <v>22</v>
      </c>
      <c r="V8" s="12">
        <f>Assumptions!$B$74+MAX(0,C8-Assumptions!$C$74)*Assumptions!$D$74</f>
        <v>99</v>
      </c>
      <c r="W8" s="12">
        <f>Assumptions!$B$75+MAX(0,C8-Assumptions!$C$75)*Assumptions!$D$75</f>
        <v>299</v>
      </c>
      <c r="X8" s="12">
        <f>Assumptions!$B$76+MAX(0,C8-Assumptions!$C$76)*Assumptions!$D$76</f>
        <v>990</v>
      </c>
      <c r="Y8" s="3" t="str">
        <f t="array" ref="Y8">INDEX(Assumptions!$A$72:$A$76,MATCH(G8,T8:X8,0))</f>
        <v>Starter</v>
      </c>
    </row>
    <row r="9">
      <c r="A9" s="3">
        <v>2.0</v>
      </c>
      <c r="B9" s="30">
        <f>A9*Assumptions!$B$11</f>
        <v>298</v>
      </c>
      <c r="C9" s="41">
        <f>A9*Assumptions!$B$13*Assumptions!$B$30+Assumptions!$B$59</f>
        <v>130</v>
      </c>
      <c r="D9" s="41">
        <f>C9/Assumptions!$B$15</f>
        <v>65</v>
      </c>
      <c r="E9" s="12">
        <f>(A9*Assumptions!$B$14+Assumptions!$B$60)*Assumptions!$B$42</f>
        <v>3.45</v>
      </c>
      <c r="F9" s="12">
        <f>C9*Assumptions!$B$41</f>
        <v>1.105</v>
      </c>
      <c r="G9" s="12">
        <f t="shared" si="1"/>
        <v>10.4</v>
      </c>
      <c r="H9" s="12">
        <f>C9*((Assumptions!$B$47*Assumptions!$B$45/1000000)+(Assumptions!$B$48*Assumptions!$B$46/1000000))</f>
        <v>0</v>
      </c>
      <c r="I9" s="41">
        <f>D9*Assumptions!$B$52+D9*Assumptions!$B$33*Assumptions!$B$53</f>
        <v>0</v>
      </c>
      <c r="J9" s="12">
        <f>MAX(0,I9-Assumptions!$B$50)*Assumptions!$B$51</f>
        <v>0</v>
      </c>
      <c r="K9" s="12">
        <f>B9*Assumptions!$B$61</f>
        <v>0</v>
      </c>
      <c r="L9" s="12">
        <f>A9*(Assumptions!$B$55+Assumptions!$B$57)</f>
        <v>0</v>
      </c>
      <c r="M9" s="12">
        <f>A9*Assumptions!$B$16*Assumptions!$B$31*Assumptions!$B$38</f>
        <v>50</v>
      </c>
      <c r="N9" s="12">
        <f>A9*Assumptions!$B$17*Assumptions!$B$32*Assumptions!$B$39</f>
        <v>0</v>
      </c>
      <c r="O9" s="12">
        <f>'Fixed Operating Costs'!$G$20</f>
        <v>49.99</v>
      </c>
      <c r="P9" s="12">
        <f t="shared" si="2"/>
        <v>183.055</v>
      </c>
      <c r="Q9" s="12">
        <f t="shared" si="3"/>
        <v>183.055</v>
      </c>
      <c r="R9" s="37">
        <f t="shared" si="4"/>
        <v>0.6142785235</v>
      </c>
      <c r="S9" s="42">
        <f>(A9*Assumptions!$B$16*Assumptions!$B$31)/Assumptions!$B$40</f>
        <v>0.01666666667</v>
      </c>
      <c r="T9" s="12">
        <f>Assumptions!$B$72+MAX(0,C9-Assumptions!$C$72)*Assumptions!$D$72</f>
        <v>10.4</v>
      </c>
      <c r="U9" s="12">
        <f>Assumptions!$B$73+MAX(0,C9-Assumptions!$C$73)*Assumptions!$D$73</f>
        <v>22</v>
      </c>
      <c r="V9" s="12">
        <f>Assumptions!$B$74+MAX(0,C9-Assumptions!$C$74)*Assumptions!$D$74</f>
        <v>99</v>
      </c>
      <c r="W9" s="12">
        <f>Assumptions!$B$75+MAX(0,C9-Assumptions!$C$75)*Assumptions!$D$75</f>
        <v>299</v>
      </c>
      <c r="X9" s="12">
        <f>Assumptions!$B$76+MAX(0,C9-Assumptions!$C$76)*Assumptions!$D$76</f>
        <v>990</v>
      </c>
      <c r="Y9" s="3" t="str">
        <f t="array" ref="Y9">INDEX(Assumptions!$A$72:$A$76,MATCH(G9,T9:X9,0))</f>
        <v>Starter</v>
      </c>
    </row>
    <row r="10">
      <c r="A10" s="3">
        <v>3.0</v>
      </c>
      <c r="B10" s="30">
        <f>A10*Assumptions!$B$11</f>
        <v>447</v>
      </c>
      <c r="C10" s="41">
        <f>A10*Assumptions!$B$13*Assumptions!$B$30+Assumptions!$B$59</f>
        <v>195</v>
      </c>
      <c r="D10" s="41">
        <f>C10/Assumptions!$B$15</f>
        <v>97.5</v>
      </c>
      <c r="E10" s="12">
        <f>(A10*Assumptions!$B$14+Assumptions!$B$60)*Assumptions!$B$42</f>
        <v>4.6</v>
      </c>
      <c r="F10" s="12">
        <f>C10*Assumptions!$B$41</f>
        <v>1.6575</v>
      </c>
      <c r="G10" s="12">
        <f t="shared" si="1"/>
        <v>15.6</v>
      </c>
      <c r="H10" s="12">
        <f>C10*((Assumptions!$B$47*Assumptions!$B$45/1000000)+(Assumptions!$B$48*Assumptions!$B$46/1000000))</f>
        <v>0</v>
      </c>
      <c r="I10" s="41">
        <f>D10*Assumptions!$B$52+D10*Assumptions!$B$33*Assumptions!$B$53</f>
        <v>0</v>
      </c>
      <c r="J10" s="12">
        <f>MAX(0,I10-Assumptions!$B$50)*Assumptions!$B$51</f>
        <v>0</v>
      </c>
      <c r="K10" s="12">
        <f>B10*Assumptions!$B$61</f>
        <v>0</v>
      </c>
      <c r="L10" s="12">
        <f>A10*(Assumptions!$B$55+Assumptions!$B$57)</f>
        <v>0</v>
      </c>
      <c r="M10" s="12">
        <f>A10*Assumptions!$B$16*Assumptions!$B$31*Assumptions!$B$38</f>
        <v>75</v>
      </c>
      <c r="N10" s="12">
        <f>A10*Assumptions!$B$17*Assumptions!$B$32*Assumptions!$B$39</f>
        <v>0</v>
      </c>
      <c r="O10" s="12">
        <f>'Fixed Operating Costs'!$G$20</f>
        <v>49.99</v>
      </c>
      <c r="P10" s="12">
        <f t="shared" si="2"/>
        <v>300.1525</v>
      </c>
      <c r="Q10" s="12">
        <f t="shared" si="3"/>
        <v>300.1525</v>
      </c>
      <c r="R10" s="37">
        <f t="shared" si="4"/>
        <v>0.6714821029</v>
      </c>
      <c r="S10" s="42">
        <f>(A10*Assumptions!$B$16*Assumptions!$B$31)/Assumptions!$B$40</f>
        <v>0.025</v>
      </c>
      <c r="T10" s="12">
        <f>Assumptions!$B$72+MAX(0,C10-Assumptions!$C$72)*Assumptions!$D$72</f>
        <v>15.6</v>
      </c>
      <c r="U10" s="12">
        <f>Assumptions!$B$73+MAX(0,C10-Assumptions!$C$73)*Assumptions!$D$73</f>
        <v>22</v>
      </c>
      <c r="V10" s="12">
        <f>Assumptions!$B$74+MAX(0,C10-Assumptions!$C$74)*Assumptions!$D$74</f>
        <v>99</v>
      </c>
      <c r="W10" s="12">
        <f>Assumptions!$B$75+MAX(0,C10-Assumptions!$C$75)*Assumptions!$D$75</f>
        <v>299</v>
      </c>
      <c r="X10" s="12">
        <f>Assumptions!$B$76+MAX(0,C10-Assumptions!$C$76)*Assumptions!$D$76</f>
        <v>990</v>
      </c>
      <c r="Y10" s="3" t="str">
        <f t="array" ref="Y10">INDEX(Assumptions!$A$72:$A$76,MATCH(G10,T10:X10,0))</f>
        <v>Starter</v>
      </c>
    </row>
    <row r="11">
      <c r="A11" s="3">
        <v>5.0</v>
      </c>
      <c r="B11" s="30">
        <f>A11*Assumptions!$B$11</f>
        <v>745</v>
      </c>
      <c r="C11" s="41">
        <f>A11*Assumptions!$B$13*Assumptions!$B$30+Assumptions!$B$59</f>
        <v>325</v>
      </c>
      <c r="D11" s="41">
        <f>C11/Assumptions!$B$15</f>
        <v>162.5</v>
      </c>
      <c r="E11" s="12">
        <f>(A11*Assumptions!$B$14+Assumptions!$B$60)*Assumptions!$B$42</f>
        <v>6.9</v>
      </c>
      <c r="F11" s="12">
        <f>C11*Assumptions!$B$41</f>
        <v>2.7625</v>
      </c>
      <c r="G11" s="12">
        <f t="shared" si="1"/>
        <v>26</v>
      </c>
      <c r="H11" s="12">
        <f>C11*((Assumptions!$B$47*Assumptions!$B$45/1000000)+(Assumptions!$B$48*Assumptions!$B$46/1000000))</f>
        <v>0</v>
      </c>
      <c r="I11" s="41">
        <f>D11*Assumptions!$B$52+D11*Assumptions!$B$33*Assumptions!$B$53</f>
        <v>0</v>
      </c>
      <c r="J11" s="12">
        <f>MAX(0,I11-Assumptions!$B$50)*Assumptions!$B$51</f>
        <v>0</v>
      </c>
      <c r="K11" s="12">
        <f>B11*Assumptions!$B$61</f>
        <v>0</v>
      </c>
      <c r="L11" s="12">
        <f>A11*(Assumptions!$B$55+Assumptions!$B$57)</f>
        <v>0</v>
      </c>
      <c r="M11" s="12">
        <f>A11*Assumptions!$B$16*Assumptions!$B$31*Assumptions!$B$38</f>
        <v>125</v>
      </c>
      <c r="N11" s="12">
        <f>A11*Assumptions!$B$17*Assumptions!$B$32*Assumptions!$B$39</f>
        <v>0</v>
      </c>
      <c r="O11" s="12">
        <f>'Fixed Operating Costs'!$G$20</f>
        <v>49.99</v>
      </c>
      <c r="P11" s="12">
        <f t="shared" si="2"/>
        <v>534.3475</v>
      </c>
      <c r="Q11" s="12">
        <f t="shared" si="3"/>
        <v>534.3475</v>
      </c>
      <c r="R11" s="37">
        <f t="shared" si="4"/>
        <v>0.7172449664</v>
      </c>
      <c r="S11" s="42">
        <f>(A11*Assumptions!$B$16*Assumptions!$B$31)/Assumptions!$B$40</f>
        <v>0.04166666667</v>
      </c>
      <c r="T11" s="12">
        <f>Assumptions!$B$72+MAX(0,C11-Assumptions!$C$72)*Assumptions!$D$72</f>
        <v>26</v>
      </c>
      <c r="U11" s="12">
        <f>Assumptions!$B$73+MAX(0,C11-Assumptions!$C$73)*Assumptions!$D$73</f>
        <v>26</v>
      </c>
      <c r="V11" s="12">
        <f>Assumptions!$B$74+MAX(0,C11-Assumptions!$C$74)*Assumptions!$D$74</f>
        <v>99</v>
      </c>
      <c r="W11" s="12">
        <f>Assumptions!$B$75+MAX(0,C11-Assumptions!$C$75)*Assumptions!$D$75</f>
        <v>299</v>
      </c>
      <c r="X11" s="12">
        <f>Assumptions!$B$76+MAX(0,C11-Assumptions!$C$76)*Assumptions!$D$76</f>
        <v>990</v>
      </c>
      <c r="Y11" s="3" t="str">
        <f t="array" ref="Y11">INDEX(Assumptions!$A$72:$A$76,MATCH(G11,T11:X11,0))</f>
        <v>Starter</v>
      </c>
    </row>
    <row r="12">
      <c r="A12" s="3">
        <v>10.0</v>
      </c>
      <c r="B12" s="30">
        <f>A12*Assumptions!$B$11</f>
        <v>1490</v>
      </c>
      <c r="C12" s="41">
        <f>A12*Assumptions!$B$13*Assumptions!$B$30+Assumptions!$B$59</f>
        <v>650</v>
      </c>
      <c r="D12" s="41">
        <f>C12/Assumptions!$B$15</f>
        <v>325</v>
      </c>
      <c r="E12" s="12">
        <f>(A12*Assumptions!$B$14+Assumptions!$B$60)*Assumptions!$B$42</f>
        <v>12.65</v>
      </c>
      <c r="F12" s="12">
        <f>C12*Assumptions!$B$41</f>
        <v>5.525</v>
      </c>
      <c r="G12" s="12">
        <f t="shared" si="1"/>
        <v>52</v>
      </c>
      <c r="H12" s="12">
        <f>C12*((Assumptions!$B$47*Assumptions!$B$45/1000000)+(Assumptions!$B$48*Assumptions!$B$46/1000000))</f>
        <v>0</v>
      </c>
      <c r="I12" s="41">
        <f>D12*Assumptions!$B$52+D12*Assumptions!$B$33*Assumptions!$B$53</f>
        <v>0</v>
      </c>
      <c r="J12" s="12">
        <f>MAX(0,I12-Assumptions!$B$50)*Assumptions!$B$51</f>
        <v>0</v>
      </c>
      <c r="K12" s="12">
        <f>B12*Assumptions!$B$61</f>
        <v>0</v>
      </c>
      <c r="L12" s="12">
        <f>A12*(Assumptions!$B$55+Assumptions!$B$57)</f>
        <v>0</v>
      </c>
      <c r="M12" s="12">
        <f>A12*Assumptions!$B$16*Assumptions!$B$31*Assumptions!$B$38</f>
        <v>250</v>
      </c>
      <c r="N12" s="12">
        <f>A12*Assumptions!$B$17*Assumptions!$B$32*Assumptions!$B$39</f>
        <v>0</v>
      </c>
      <c r="O12" s="12">
        <f>'Fixed Operating Costs'!$G$20</f>
        <v>49.99</v>
      </c>
      <c r="P12" s="12">
        <f t="shared" si="2"/>
        <v>1119.835</v>
      </c>
      <c r="Q12" s="12">
        <f t="shared" si="3"/>
        <v>1119.835</v>
      </c>
      <c r="R12" s="37">
        <f t="shared" si="4"/>
        <v>0.7515671141</v>
      </c>
      <c r="S12" s="42">
        <f>(A12*Assumptions!$B$16*Assumptions!$B$31)/Assumptions!$B$40</f>
        <v>0.08333333333</v>
      </c>
      <c r="T12" s="12">
        <f>Assumptions!$B$72+MAX(0,C12-Assumptions!$C$72)*Assumptions!$D$72</f>
        <v>52</v>
      </c>
      <c r="U12" s="12">
        <f>Assumptions!$B$73+MAX(0,C12-Assumptions!$C$73)*Assumptions!$D$73</f>
        <v>52</v>
      </c>
      <c r="V12" s="12">
        <f>Assumptions!$B$74+MAX(0,C12-Assumptions!$C$74)*Assumptions!$D$74</f>
        <v>99</v>
      </c>
      <c r="W12" s="12">
        <f>Assumptions!$B$75+MAX(0,C12-Assumptions!$C$75)*Assumptions!$D$75</f>
        <v>299</v>
      </c>
      <c r="X12" s="12">
        <f>Assumptions!$B$76+MAX(0,C12-Assumptions!$C$76)*Assumptions!$D$76</f>
        <v>990</v>
      </c>
      <c r="Y12" s="3" t="str">
        <f t="array" ref="Y12">INDEX(Assumptions!$A$72:$A$76,MATCH(G12,T12:X12,0))</f>
        <v>Starter</v>
      </c>
    </row>
    <row r="13">
      <c r="A13" s="3">
        <v>15.0</v>
      </c>
      <c r="B13" s="30">
        <f>A13*Assumptions!$B$11</f>
        <v>2235</v>
      </c>
      <c r="C13" s="41">
        <f>A13*Assumptions!$B$13*Assumptions!$B$30+Assumptions!$B$59</f>
        <v>975</v>
      </c>
      <c r="D13" s="41">
        <f>C13/Assumptions!$B$15</f>
        <v>487.5</v>
      </c>
      <c r="E13" s="12">
        <f>(A13*Assumptions!$B$14+Assumptions!$B$60)*Assumptions!$B$42</f>
        <v>18.4</v>
      </c>
      <c r="F13" s="12">
        <f>C13*Assumptions!$B$41</f>
        <v>8.2875</v>
      </c>
      <c r="G13" s="12">
        <f t="shared" si="1"/>
        <v>78</v>
      </c>
      <c r="H13" s="12">
        <f>C13*((Assumptions!$B$47*Assumptions!$B$45/1000000)+(Assumptions!$B$48*Assumptions!$B$46/1000000))</f>
        <v>0</v>
      </c>
      <c r="I13" s="41">
        <f>D13*Assumptions!$B$52+D13*Assumptions!$B$33*Assumptions!$B$53</f>
        <v>0</v>
      </c>
      <c r="J13" s="12">
        <f>MAX(0,I13-Assumptions!$B$50)*Assumptions!$B$51</f>
        <v>0</v>
      </c>
      <c r="K13" s="12">
        <f>B13*Assumptions!$B$61</f>
        <v>0</v>
      </c>
      <c r="L13" s="12">
        <f>A13*(Assumptions!$B$55+Assumptions!$B$57)</f>
        <v>0</v>
      </c>
      <c r="M13" s="12">
        <f>A13*Assumptions!$B$16*Assumptions!$B$31*Assumptions!$B$38</f>
        <v>375</v>
      </c>
      <c r="N13" s="12">
        <f>A13*Assumptions!$B$17*Assumptions!$B$32*Assumptions!$B$39</f>
        <v>0</v>
      </c>
      <c r="O13" s="12">
        <f>'Fixed Operating Costs'!$G$20</f>
        <v>49.99</v>
      </c>
      <c r="P13" s="12">
        <f t="shared" si="2"/>
        <v>1705.3225</v>
      </c>
      <c r="Q13" s="12">
        <f t="shared" si="3"/>
        <v>1705.3225</v>
      </c>
      <c r="R13" s="37">
        <f t="shared" si="4"/>
        <v>0.76300783</v>
      </c>
      <c r="S13" s="42">
        <f>(A13*Assumptions!$B$16*Assumptions!$B$31)/Assumptions!$B$40</f>
        <v>0.125</v>
      </c>
      <c r="T13" s="12">
        <f>Assumptions!$B$72+MAX(0,C13-Assumptions!$C$72)*Assumptions!$D$72</f>
        <v>78</v>
      </c>
      <c r="U13" s="12">
        <f>Assumptions!$B$73+MAX(0,C13-Assumptions!$C$73)*Assumptions!$D$73</f>
        <v>78</v>
      </c>
      <c r="V13" s="12">
        <f>Assumptions!$B$74+MAX(0,C13-Assumptions!$C$74)*Assumptions!$D$74</f>
        <v>99</v>
      </c>
      <c r="W13" s="12">
        <f>Assumptions!$B$75+MAX(0,C13-Assumptions!$C$75)*Assumptions!$D$75</f>
        <v>299</v>
      </c>
      <c r="X13" s="12">
        <f>Assumptions!$B$76+MAX(0,C13-Assumptions!$C$76)*Assumptions!$D$76</f>
        <v>990</v>
      </c>
      <c r="Y13" s="3" t="str">
        <f t="array" ref="Y13">INDEX(Assumptions!$A$72:$A$76,MATCH(G13,T13:X13,0))</f>
        <v>Starter</v>
      </c>
    </row>
    <row r="14">
      <c r="A14" s="3">
        <v>20.0</v>
      </c>
      <c r="B14" s="30">
        <f>A14*Assumptions!$B$11</f>
        <v>2980</v>
      </c>
      <c r="C14" s="41">
        <f>A14*Assumptions!$B$13*Assumptions!$B$30+Assumptions!$B$59</f>
        <v>1300</v>
      </c>
      <c r="D14" s="41">
        <f>C14/Assumptions!$B$15</f>
        <v>650</v>
      </c>
      <c r="E14" s="12">
        <f>(A14*Assumptions!$B$14+Assumptions!$B$60)*Assumptions!$B$42</f>
        <v>24.15</v>
      </c>
      <c r="F14" s="12">
        <f>C14*Assumptions!$B$41</f>
        <v>11.05</v>
      </c>
      <c r="G14" s="12">
        <f t="shared" si="1"/>
        <v>103.96</v>
      </c>
      <c r="H14" s="12">
        <f>C14*((Assumptions!$B$47*Assumptions!$B$45/1000000)+(Assumptions!$B$48*Assumptions!$B$46/1000000))</f>
        <v>0</v>
      </c>
      <c r="I14" s="41">
        <f>D14*Assumptions!$B$52+D14*Assumptions!$B$33*Assumptions!$B$53</f>
        <v>0</v>
      </c>
      <c r="J14" s="12">
        <f>MAX(0,I14-Assumptions!$B$50)*Assumptions!$B$51</f>
        <v>0</v>
      </c>
      <c r="K14" s="12">
        <f>B14*Assumptions!$B$61</f>
        <v>0</v>
      </c>
      <c r="L14" s="12">
        <f>A14*(Assumptions!$B$55+Assumptions!$B$57)</f>
        <v>0</v>
      </c>
      <c r="M14" s="12">
        <f>A14*Assumptions!$B$16*Assumptions!$B$31*Assumptions!$B$38</f>
        <v>500</v>
      </c>
      <c r="N14" s="12">
        <f>A14*Assumptions!$B$17*Assumptions!$B$32*Assumptions!$B$39</f>
        <v>0</v>
      </c>
      <c r="O14" s="12">
        <f>'Fixed Operating Costs'!$G$20</f>
        <v>49.99</v>
      </c>
      <c r="P14" s="12">
        <f t="shared" si="2"/>
        <v>2290.85</v>
      </c>
      <c r="Q14" s="12">
        <f t="shared" si="3"/>
        <v>2290.85</v>
      </c>
      <c r="R14" s="37">
        <f t="shared" si="4"/>
        <v>0.7687416107</v>
      </c>
      <c r="S14" s="42">
        <f>(A14*Assumptions!$B$16*Assumptions!$B$31)/Assumptions!$B$40</f>
        <v>0.1666666667</v>
      </c>
      <c r="T14" s="12">
        <f>Assumptions!$B$72+MAX(0,C14-Assumptions!$C$72)*Assumptions!$D$72</f>
        <v>104</v>
      </c>
      <c r="U14" s="12">
        <f>Assumptions!$B$73+MAX(0,C14-Assumptions!$C$73)*Assumptions!$D$73</f>
        <v>104</v>
      </c>
      <c r="V14" s="12">
        <f>Assumptions!$B$74+MAX(0,C14-Assumptions!$C$74)*Assumptions!$D$74</f>
        <v>103.96</v>
      </c>
      <c r="W14" s="12">
        <f>Assumptions!$B$75+MAX(0,C14-Assumptions!$C$75)*Assumptions!$D$75</f>
        <v>299</v>
      </c>
      <c r="X14" s="12">
        <f>Assumptions!$B$76+MAX(0,C14-Assumptions!$C$76)*Assumptions!$D$76</f>
        <v>990</v>
      </c>
      <c r="Y14" s="3" t="str">
        <f t="array" ref="Y14">INDEX(Assumptions!$A$72:$A$76,MATCH(G14,T14:X14,0))</f>
        <v>Pro</v>
      </c>
    </row>
    <row r="15">
      <c r="A15" s="3">
        <v>30.0</v>
      </c>
      <c r="B15" s="30">
        <f>A15*Assumptions!$B$11</f>
        <v>4470</v>
      </c>
      <c r="C15" s="41">
        <f>A15*Assumptions!$B$13*Assumptions!$B$30+Assumptions!$B$59</f>
        <v>1950</v>
      </c>
      <c r="D15" s="41">
        <f>C15/Assumptions!$B$15</f>
        <v>975</v>
      </c>
      <c r="E15" s="12">
        <f>(A15*Assumptions!$B$14+Assumptions!$B$60)*Assumptions!$B$42</f>
        <v>35.65</v>
      </c>
      <c r="F15" s="12">
        <f>C15*Assumptions!$B$41</f>
        <v>16.575</v>
      </c>
      <c r="G15" s="12">
        <f t="shared" si="1"/>
        <v>155.96</v>
      </c>
      <c r="H15" s="12">
        <f>C15*((Assumptions!$B$47*Assumptions!$B$45/1000000)+(Assumptions!$B$48*Assumptions!$B$46/1000000))</f>
        <v>0</v>
      </c>
      <c r="I15" s="41">
        <f>D15*Assumptions!$B$52+D15*Assumptions!$B$33*Assumptions!$B$53</f>
        <v>0</v>
      </c>
      <c r="J15" s="12">
        <f>MAX(0,I15-Assumptions!$B$50)*Assumptions!$B$51</f>
        <v>0</v>
      </c>
      <c r="K15" s="12">
        <f>B15*Assumptions!$B$61</f>
        <v>0</v>
      </c>
      <c r="L15" s="12">
        <f>A15*(Assumptions!$B$55+Assumptions!$B$57)</f>
        <v>0</v>
      </c>
      <c r="M15" s="12">
        <f>A15*Assumptions!$B$16*Assumptions!$B$31*Assumptions!$B$38</f>
        <v>750</v>
      </c>
      <c r="N15" s="12">
        <f>A15*Assumptions!$B$17*Assumptions!$B$32*Assumptions!$B$39</f>
        <v>0</v>
      </c>
      <c r="O15" s="12">
        <f>'Fixed Operating Costs'!$G$20</f>
        <v>49.99</v>
      </c>
      <c r="P15" s="12">
        <f t="shared" si="2"/>
        <v>3461.825</v>
      </c>
      <c r="Q15" s="12">
        <f t="shared" si="3"/>
        <v>3461.825</v>
      </c>
      <c r="R15" s="37">
        <f t="shared" si="4"/>
        <v>0.7744574944</v>
      </c>
      <c r="S15" s="42">
        <f>(A15*Assumptions!$B$16*Assumptions!$B$31)/Assumptions!$B$40</f>
        <v>0.25</v>
      </c>
      <c r="T15" s="12">
        <f>Assumptions!$B$72+MAX(0,C15-Assumptions!$C$72)*Assumptions!$D$72</f>
        <v>156</v>
      </c>
      <c r="U15" s="12">
        <f>Assumptions!$B$73+MAX(0,C15-Assumptions!$C$73)*Assumptions!$D$73</f>
        <v>156</v>
      </c>
      <c r="V15" s="12">
        <f>Assumptions!$B$74+MAX(0,C15-Assumptions!$C$74)*Assumptions!$D$74</f>
        <v>155.96</v>
      </c>
      <c r="W15" s="12">
        <f>Assumptions!$B$75+MAX(0,C15-Assumptions!$C$75)*Assumptions!$D$75</f>
        <v>299</v>
      </c>
      <c r="X15" s="12">
        <f>Assumptions!$B$76+MAX(0,C15-Assumptions!$C$76)*Assumptions!$D$76</f>
        <v>990</v>
      </c>
      <c r="Y15" s="3" t="str">
        <f t="array" ref="Y15">INDEX(Assumptions!$A$72:$A$76,MATCH(G15,T15:X15,0))</f>
        <v>Pro</v>
      </c>
    </row>
    <row r="16">
      <c r="A16" s="3">
        <v>50.0</v>
      </c>
      <c r="B16" s="30">
        <f>A16*Assumptions!$B$11</f>
        <v>7450</v>
      </c>
      <c r="C16" s="41">
        <f>A16*Assumptions!$B$13*Assumptions!$B$30+Assumptions!$B$59</f>
        <v>3250</v>
      </c>
      <c r="D16" s="41">
        <f>C16/Assumptions!$B$15</f>
        <v>1625</v>
      </c>
      <c r="E16" s="12">
        <f>(A16*Assumptions!$B$14+Assumptions!$B$60)*Assumptions!$B$42</f>
        <v>58.65</v>
      </c>
      <c r="F16" s="12">
        <f>C16*Assumptions!$B$41</f>
        <v>27.625</v>
      </c>
      <c r="G16" s="12">
        <f t="shared" si="1"/>
        <v>259.96</v>
      </c>
      <c r="H16" s="12">
        <f>C16*((Assumptions!$B$47*Assumptions!$B$45/1000000)+(Assumptions!$B$48*Assumptions!$B$46/1000000))</f>
        <v>0</v>
      </c>
      <c r="I16" s="41">
        <f>D16*Assumptions!$B$52+D16*Assumptions!$B$33*Assumptions!$B$53</f>
        <v>0</v>
      </c>
      <c r="J16" s="12">
        <f>MAX(0,I16-Assumptions!$B$50)*Assumptions!$B$51</f>
        <v>0</v>
      </c>
      <c r="K16" s="12">
        <f>B16*Assumptions!$B$61</f>
        <v>0</v>
      </c>
      <c r="L16" s="12">
        <f>A16*(Assumptions!$B$55+Assumptions!$B$57)</f>
        <v>0</v>
      </c>
      <c r="M16" s="12">
        <f>A16*Assumptions!$B$16*Assumptions!$B$31*Assumptions!$B$38</f>
        <v>1250</v>
      </c>
      <c r="N16" s="12">
        <f>A16*Assumptions!$B$17*Assumptions!$B$32*Assumptions!$B$39</f>
        <v>0</v>
      </c>
      <c r="O16" s="12">
        <f>'Fixed Operating Costs'!$G$20</f>
        <v>49.99</v>
      </c>
      <c r="P16" s="12">
        <f t="shared" si="2"/>
        <v>5803.775</v>
      </c>
      <c r="Q16" s="12">
        <f t="shared" si="3"/>
        <v>5803.775</v>
      </c>
      <c r="R16" s="37">
        <f t="shared" si="4"/>
        <v>0.7790302013</v>
      </c>
      <c r="S16" s="42">
        <f>(A16*Assumptions!$B$16*Assumptions!$B$31)/Assumptions!$B$40</f>
        <v>0.4166666667</v>
      </c>
      <c r="T16" s="12">
        <f>Assumptions!$B$72+MAX(0,C16-Assumptions!$C$72)*Assumptions!$D$72</f>
        <v>260</v>
      </c>
      <c r="U16" s="12">
        <f>Assumptions!$B$73+MAX(0,C16-Assumptions!$C$73)*Assumptions!$D$73</f>
        <v>260</v>
      </c>
      <c r="V16" s="12">
        <f>Assumptions!$B$74+MAX(0,C16-Assumptions!$C$74)*Assumptions!$D$74</f>
        <v>259.96</v>
      </c>
      <c r="W16" s="12">
        <f>Assumptions!$B$75+MAX(0,C16-Assumptions!$C$75)*Assumptions!$D$75</f>
        <v>299</v>
      </c>
      <c r="X16" s="12">
        <f>Assumptions!$B$76+MAX(0,C16-Assumptions!$C$76)*Assumptions!$D$76</f>
        <v>990</v>
      </c>
      <c r="Y16" s="3" t="str">
        <f t="array" ref="Y16">INDEX(Assumptions!$A$72:$A$76,MATCH(G16,T16:X16,0))</f>
        <v>Pro</v>
      </c>
    </row>
    <row r="17">
      <c r="A17" s="3">
        <v>100.0</v>
      </c>
      <c r="B17" s="30">
        <f>A17*Assumptions!$B$11</f>
        <v>14900</v>
      </c>
      <c r="C17" s="41">
        <f>A17*Assumptions!$B$13*Assumptions!$B$30+Assumptions!$B$59</f>
        <v>6500</v>
      </c>
      <c r="D17" s="41">
        <f>C17/Assumptions!$B$15</f>
        <v>3250</v>
      </c>
      <c r="E17" s="12">
        <f>(A17*Assumptions!$B$14+Assumptions!$B$60)*Assumptions!$B$42</f>
        <v>116.15</v>
      </c>
      <c r="F17" s="12">
        <f>C17*Assumptions!$B$41</f>
        <v>55.25</v>
      </c>
      <c r="G17" s="12">
        <f t="shared" si="1"/>
        <v>519.96</v>
      </c>
      <c r="H17" s="12">
        <f>C17*((Assumptions!$B$47*Assumptions!$B$45/1000000)+(Assumptions!$B$48*Assumptions!$B$46/1000000))</f>
        <v>0</v>
      </c>
      <c r="I17" s="41">
        <f>D17*Assumptions!$B$52+D17*Assumptions!$B$33*Assumptions!$B$53</f>
        <v>0</v>
      </c>
      <c r="J17" s="12">
        <f>MAX(0,I17-Assumptions!$B$50)*Assumptions!$B$51</f>
        <v>0</v>
      </c>
      <c r="K17" s="12">
        <f>B17*Assumptions!$B$61</f>
        <v>0</v>
      </c>
      <c r="L17" s="12">
        <f>A17*(Assumptions!$B$55+Assumptions!$B$57)</f>
        <v>0</v>
      </c>
      <c r="M17" s="12">
        <f>A17*Assumptions!$B$16*Assumptions!$B$31*Assumptions!$B$38</f>
        <v>2500</v>
      </c>
      <c r="N17" s="12">
        <f>A17*Assumptions!$B$17*Assumptions!$B$32*Assumptions!$B$39</f>
        <v>0</v>
      </c>
      <c r="O17" s="12">
        <f>'Fixed Operating Costs'!$G$20</f>
        <v>49.99</v>
      </c>
      <c r="P17" s="12">
        <f t="shared" si="2"/>
        <v>11658.65</v>
      </c>
      <c r="Q17" s="12">
        <f t="shared" si="3"/>
        <v>11658.65</v>
      </c>
      <c r="R17" s="37">
        <f t="shared" si="4"/>
        <v>0.7824597315</v>
      </c>
      <c r="S17" s="42">
        <f>(A17*Assumptions!$B$16*Assumptions!$B$31)/Assumptions!$B$40</f>
        <v>0.8333333333</v>
      </c>
      <c r="T17" s="12">
        <f>Assumptions!$B$72+MAX(0,C17-Assumptions!$C$72)*Assumptions!$D$72</f>
        <v>520</v>
      </c>
      <c r="U17" s="12">
        <f>Assumptions!$B$73+MAX(0,C17-Assumptions!$C$73)*Assumptions!$D$73</f>
        <v>520</v>
      </c>
      <c r="V17" s="12">
        <f>Assumptions!$B$74+MAX(0,C17-Assumptions!$C$74)*Assumptions!$D$74</f>
        <v>519.96</v>
      </c>
      <c r="W17" s="12">
        <f>Assumptions!$B$75+MAX(0,C17-Assumptions!$C$75)*Assumptions!$D$75</f>
        <v>519.96</v>
      </c>
      <c r="X17" s="12">
        <f>Assumptions!$B$76+MAX(0,C17-Assumptions!$C$76)*Assumptions!$D$76</f>
        <v>990</v>
      </c>
      <c r="Y17" s="3" t="str">
        <f t="array" ref="Y17">INDEX(Assumptions!$A$72:$A$76,MATCH(G17,T17:X17,0))</f>
        <v>Pro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Y1"/>
    <mergeCell ref="A2:Y2"/>
    <mergeCell ref="A6:Y6"/>
  </mergeCells>
  <conditionalFormatting sqref="P8:P17">
    <cfRule type="cellIs" dxfId="3" priority="1" operator="lessThan">
      <formula>0</formula>
    </cfRule>
  </conditionalFormatting>
  <conditionalFormatting sqref="P8:P17">
    <cfRule type="cellIs" dxfId="4" priority="2" operator="greaterThanOr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15.0"/>
    <col customWidth="1" min="3" max="3" width="16.0"/>
    <col customWidth="1" min="4" max="4" width="17.0"/>
    <col customWidth="1" min="5" max="5" width="18.0"/>
    <col customWidth="1" min="6" max="6" width="14.0"/>
    <col customWidth="1" min="7" max="7" width="22.0"/>
    <col customWidth="1" min="8" max="8" width="20.0"/>
    <col customWidth="1" min="9" max="9" width="16.0"/>
    <col customWidth="1" min="10" max="10" width="18.0"/>
    <col customWidth="1" min="11" max="11" width="20.0"/>
    <col customWidth="1" min="12" max="12" width="22.0"/>
    <col customWidth="1" min="13" max="26" width="8.63"/>
  </cols>
  <sheetData>
    <row r="1" ht="30.0" customHeight="1">
      <c r="A1" s="1" t="s">
        <v>490</v>
      </c>
    </row>
    <row r="2" ht="33.75" customHeight="1">
      <c r="A2" s="2" t="s">
        <v>491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4" t="s">
        <v>492</v>
      </c>
    </row>
    <row r="5">
      <c r="A5" s="5" t="s">
        <v>48</v>
      </c>
      <c r="B5" s="5" t="s">
        <v>55</v>
      </c>
      <c r="C5" s="5" t="s">
        <v>493</v>
      </c>
      <c r="D5" s="5" t="s">
        <v>79</v>
      </c>
      <c r="E5" s="5" t="s">
        <v>80</v>
      </c>
      <c r="F5" s="5" t="s">
        <v>83</v>
      </c>
      <c r="G5" s="5" t="s">
        <v>467</v>
      </c>
      <c r="H5" s="5" t="s">
        <v>494</v>
      </c>
      <c r="I5" s="5" t="s">
        <v>495</v>
      </c>
      <c r="J5" s="5" t="s">
        <v>496</v>
      </c>
      <c r="K5" s="5" t="s">
        <v>497</v>
      </c>
      <c r="L5" s="5" t="s">
        <v>498</v>
      </c>
    </row>
    <row r="6">
      <c r="A6" s="3" t="s">
        <v>38</v>
      </c>
      <c r="B6" s="30">
        <f>'Per-Customer Costs'!B6</f>
        <v>149</v>
      </c>
      <c r="C6" s="41">
        <f>'Per-Customer Costs'!D6</f>
        <v>65</v>
      </c>
      <c r="D6" s="12">
        <f>'Per-Customer Costs'!O6</f>
        <v>31.9025</v>
      </c>
      <c r="E6" s="12">
        <f t="shared" ref="E6:E8" si="1">B6-D6</f>
        <v>117.0975</v>
      </c>
      <c r="F6" s="37">
        <f t="shared" ref="F6:F8" si="2">E6/B6</f>
        <v>0.7858892617</v>
      </c>
      <c r="G6" s="12">
        <f>'Per-Customer Costs'!Q6</f>
        <v>117.0975</v>
      </c>
      <c r="H6" s="37">
        <f t="shared" ref="H6:H8" si="3">G6/B6</f>
        <v>0.7858892617</v>
      </c>
      <c r="I6" s="41">
        <f>Assumptions!$B$16*Assumptions!$B$31</f>
        <v>1</v>
      </c>
      <c r="J6" s="12">
        <f t="shared" ref="J6:J8" si="4">IF(I6=0,0,B6/I6)</f>
        <v>149</v>
      </c>
      <c r="K6" s="43">
        <f>ROUNDUP('Fixed Operating Costs'!$G$20/MAX(1,E6),0)</f>
        <v>1</v>
      </c>
      <c r="L6" s="12">
        <f>Assumptions!$B$11-((Assumptions!$B$14+Assumptions!$B$60)*Assumptions!$B$42)-((Assumptions!$B$13*Assumptions!$B$30+Assumptions!$B$59)*Assumptions!$B$41)-(MIN(Assumptions!$B$72+MAX(0,(Assumptions!$B$13*Assumptions!$B$30+Assumptions!$B$59)-Assumptions!$C$72)*Assumptions!$D$72,Assumptions!$B$73+MAX(0,(Assumptions!$B$13*Assumptions!$B$30+Assumptions!$B$59)-Assumptions!$C$73)*Assumptions!$D$73,Assumptions!$B$74+MAX(0,(Assumptions!$B$13*Assumptions!$B$30+Assumptions!$B$59)-Assumptions!$C$74)*Assumptions!$D$74,Assumptions!$B$75+MAX(0,(Assumptions!$B$13*Assumptions!$B$30+Assumptions!$B$59)-Assumptions!$C$75)*Assumptions!$D$75,Assumptions!$B$76+MAX(0,(Assumptions!$B$13*Assumptions!$B$30+Assumptions!$B$59)-Assumptions!$C$76)*Assumptions!$D$76))-((Assumptions!$B$13*Assumptions!$B$30+Assumptions!$B$59)*( (Assumptions!$B$47*Assumptions!$B$45/1000000)+(Assumptions!$B$48*Assumptions!$B$46/1000000) ))-(MAX(0,(((Assumptions!$B$13*Assumptions!$B$30+Assumptions!$B$59)/Assumptions!$B$15)*Assumptions!$B$52+((Assumptions!$B$13*Assumptions!$B$30+Assumptions!$B$59)/Assumptions!$B$15)*Assumptions!$B$33*Assumptions!$B$53)-Assumptions!$B$50)*Assumptions!$B$51)-(Assumptions!$B$11*Assumptions!$B$61)-Assumptions!$B$55-Assumptions!$B$57-(Assumptions!$B$16*Assumptions!$B$31*Assumptions!$B$38)-'Fixed Operating Costs'!$G$20</f>
        <v>65.1575</v>
      </c>
    </row>
    <row r="7">
      <c r="A7" s="3" t="s">
        <v>40</v>
      </c>
      <c r="B7" s="30">
        <f>'Per-Customer Costs'!B7</f>
        <v>199</v>
      </c>
      <c r="C7" s="41">
        <f>'Per-Customer Costs'!D7</f>
        <v>162.5</v>
      </c>
      <c r="D7" s="12">
        <f>'Per-Customer Costs'!O7</f>
        <v>65.53125</v>
      </c>
      <c r="E7" s="12">
        <f t="shared" si="1"/>
        <v>133.46875</v>
      </c>
      <c r="F7" s="37">
        <f t="shared" si="2"/>
        <v>0.6706972362</v>
      </c>
      <c r="G7" s="12">
        <f>'Per-Customer Costs'!Q7</f>
        <v>133.46875</v>
      </c>
      <c r="H7" s="37">
        <f t="shared" si="3"/>
        <v>0.6706972362</v>
      </c>
      <c r="I7" s="41">
        <f>Assumptions!$C$16*Assumptions!$B$31</f>
        <v>2</v>
      </c>
      <c r="J7" s="12">
        <f t="shared" si="4"/>
        <v>99.5</v>
      </c>
      <c r="K7" s="43">
        <f>ROUNDUP('Fixed Operating Costs'!$G$20/MAX(1,E7),0)</f>
        <v>1</v>
      </c>
      <c r="L7" s="12">
        <f>Assumptions!$C$11-((Assumptions!$C$14+Assumptions!$B$60)*Assumptions!$B$42)-((Assumptions!$C$13*Assumptions!$B$30+Assumptions!$B$59)*Assumptions!$B$41)-(MIN(Assumptions!$B$72+MAX(0,(Assumptions!$C$13*Assumptions!$B$30+Assumptions!$B$59)-Assumptions!$C$72)*Assumptions!$D$72,Assumptions!$B$73+MAX(0,(Assumptions!$C$13*Assumptions!$B$30+Assumptions!$B$59)-Assumptions!$C$73)*Assumptions!$D$73,Assumptions!$B$74+MAX(0,(Assumptions!$C$13*Assumptions!$B$30+Assumptions!$B$59)-Assumptions!$C$74)*Assumptions!$D$74,Assumptions!$B$75+MAX(0,(Assumptions!$C$13*Assumptions!$B$30+Assumptions!$B$59)-Assumptions!$C$75)*Assumptions!$D$75,Assumptions!$B$76+MAX(0,(Assumptions!$C$13*Assumptions!$B$30+Assumptions!$B$59)-Assumptions!$C$76)*Assumptions!$D$76))-((Assumptions!$C$13*Assumptions!$B$30+Assumptions!$B$59)*( (Assumptions!$B$47*Assumptions!$B$45/1000000)+(Assumptions!$B$48*Assumptions!$B$46/1000000) ))-(MAX(0,(((Assumptions!$C$13*Assumptions!$B$30+Assumptions!$B$59)/Assumptions!$C$15)*Assumptions!$B$52+((Assumptions!$C$13*Assumptions!$B$30+Assumptions!$B$59)/Assumptions!$C$15)*Assumptions!$B$33*Assumptions!$B$53)-Assumptions!$B$50)*Assumptions!$B$51)-(Assumptions!$C$11*Assumptions!$B$61)-Assumptions!$B$55-Assumptions!$B$57-(Assumptions!$C$16*Assumptions!$B$31*Assumptions!$B$38)-'Fixed Operating Costs'!$G$20</f>
        <v>82.32875</v>
      </c>
    </row>
    <row r="8">
      <c r="A8" s="3" t="s">
        <v>41</v>
      </c>
      <c r="B8" s="30">
        <f>'Per-Customer Costs'!B8</f>
        <v>349</v>
      </c>
      <c r="C8" s="41">
        <f>'Per-Customer Costs'!D8</f>
        <v>390</v>
      </c>
      <c r="D8" s="12">
        <f>'Per-Customer Costs'!O8</f>
        <v>136.815</v>
      </c>
      <c r="E8" s="12">
        <f t="shared" si="1"/>
        <v>212.185</v>
      </c>
      <c r="F8" s="37">
        <f t="shared" si="2"/>
        <v>0.6079799427</v>
      </c>
      <c r="G8" s="12">
        <f>'Per-Customer Costs'!Q8</f>
        <v>212.185</v>
      </c>
      <c r="H8" s="37">
        <f t="shared" si="3"/>
        <v>0.6079799427</v>
      </c>
      <c r="I8" s="41">
        <f>Assumptions!$D$16*Assumptions!$B$31</f>
        <v>4</v>
      </c>
      <c r="J8" s="12">
        <f t="shared" si="4"/>
        <v>87.25</v>
      </c>
      <c r="K8" s="43">
        <f>ROUNDUP('Fixed Operating Costs'!$G$20/MAX(1,E8),0)</f>
        <v>1</v>
      </c>
      <c r="L8" s="12">
        <f>Assumptions!$D$11-((Assumptions!$D$14+Assumptions!$B$60)*Assumptions!$B$42)-((Assumptions!$D$13*Assumptions!$B$30+Assumptions!$B$59)*Assumptions!$B$41)-(MIN(Assumptions!$B$72+MAX(0,(Assumptions!$D$13*Assumptions!$B$30+Assumptions!$B$59)-Assumptions!$C$72)*Assumptions!$D$72,Assumptions!$B$73+MAX(0,(Assumptions!$D$13*Assumptions!$B$30+Assumptions!$B$59)-Assumptions!$C$73)*Assumptions!$D$73,Assumptions!$B$74+MAX(0,(Assumptions!$D$13*Assumptions!$B$30+Assumptions!$B$59)-Assumptions!$C$74)*Assumptions!$D$74,Assumptions!$B$75+MAX(0,(Assumptions!$D$13*Assumptions!$B$30+Assumptions!$B$59)-Assumptions!$C$75)*Assumptions!$D$75,Assumptions!$B$76+MAX(0,(Assumptions!$D$13*Assumptions!$B$30+Assumptions!$B$59)-Assumptions!$C$76)*Assumptions!$D$76))-((Assumptions!$D$13*Assumptions!$B$30+Assumptions!$B$59)*( (Assumptions!$B$47*Assumptions!$B$45/1000000)+(Assumptions!$B$48*Assumptions!$B$46/1000000) ))-(MAX(0,(((Assumptions!$D$13*Assumptions!$B$30+Assumptions!$B$59)/Assumptions!$D$15)*Assumptions!$B$52+((Assumptions!$D$13*Assumptions!$B$30+Assumptions!$B$59)/Assumptions!$D$15)*Assumptions!$B$33*Assumptions!$B$53)-Assumptions!$B$50)*Assumptions!$B$51)-(Assumptions!$D$11*Assumptions!$B$61)-Assumptions!$B$55-Assumptions!$B$57-(Assumptions!$D$16*Assumptions!$B$31*Assumptions!$B$38)-'Fixed Operating Costs'!$G$20</f>
        <v>161.045</v>
      </c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>
      <c r="A12" s="4" t="s">
        <v>593</v>
      </c>
      <c r="I12" s="3"/>
      <c r="J12" s="3"/>
      <c r="K12" s="3"/>
      <c r="L12" s="3"/>
    </row>
    <row r="13">
      <c r="A13" s="3" t="s">
        <v>473</v>
      </c>
      <c r="B13" s="3" t="s">
        <v>477</v>
      </c>
      <c r="C13" s="3" t="s">
        <v>599</v>
      </c>
      <c r="D13" s="3" t="s">
        <v>63</v>
      </c>
      <c r="E13" s="3" t="s">
        <v>65</v>
      </c>
      <c r="F13" s="3" t="s">
        <v>76</v>
      </c>
      <c r="G13" s="3" t="s">
        <v>600</v>
      </c>
      <c r="H13" s="3" t="s">
        <v>222</v>
      </c>
      <c r="I13" s="3"/>
      <c r="J13" s="3"/>
      <c r="K13" s="3"/>
      <c r="L13" s="3"/>
    </row>
    <row r="14">
      <c r="A14" s="12">
        <f>'Profitability Forecast'!B8</f>
        <v>149</v>
      </c>
      <c r="B14" s="12">
        <f>'Profitability Forecast'!O8</f>
        <v>49.99</v>
      </c>
      <c r="C14" s="12">
        <f>'Profitability Forecast'!E8</f>
        <v>2.3</v>
      </c>
      <c r="D14" s="12">
        <f>'Profitability Forecast'!F8</f>
        <v>0.5525</v>
      </c>
      <c r="E14" s="12">
        <f>'Profitability Forecast'!G8</f>
        <v>6</v>
      </c>
      <c r="F14" s="12">
        <f>'Profitability Forecast'!M8</f>
        <v>25</v>
      </c>
      <c r="G14" s="12">
        <f>SUM('Profitability Forecast'!H8,'Profitability Forecast'!J8:L8)</f>
        <v>0</v>
      </c>
      <c r="H14" s="12">
        <f>'Profitability Forecast'!P8</f>
        <v>65.1575</v>
      </c>
      <c r="I14" s="3"/>
      <c r="J14" s="3"/>
      <c r="K14" s="3"/>
      <c r="L1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L1"/>
    <mergeCell ref="A2:L2"/>
    <mergeCell ref="A4:L4"/>
    <mergeCell ref="A12:H12"/>
  </mergeCells>
  <conditionalFormatting sqref="F6:H8">
    <cfRule type="colorScale" priority="1">
      <colorScale>
        <cfvo type="min"/>
        <cfvo type="percentile" val="50"/>
        <cfvo type="max"/>
        <color rgb="FFFEE2E2"/>
        <color rgb="FFFFF2CC"/>
        <color rgb="FFDCFCE7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0"/>
    <col customWidth="1" min="2" max="2" width="38.0"/>
    <col customWidth="1" min="3" max="3" width="35.0"/>
    <col customWidth="1" min="4" max="4" width="16.0"/>
    <col customWidth="1" min="5" max="5" width="20.0"/>
    <col customWidth="1" min="6" max="6" width="46.0"/>
    <col customWidth="1" min="7" max="7" width="15.0"/>
    <col customWidth="1" min="8" max="8" width="38.0"/>
    <col customWidth="1" min="9" max="26" width="8.63"/>
  </cols>
  <sheetData>
    <row r="1" ht="30.0" customHeight="1">
      <c r="A1" s="1" t="s">
        <v>499</v>
      </c>
    </row>
    <row r="2" ht="33.75" customHeight="1">
      <c r="A2" s="2" t="s">
        <v>500</v>
      </c>
    </row>
    <row r="3">
      <c r="A3" s="3"/>
      <c r="B3" s="3"/>
      <c r="C3" s="3"/>
      <c r="D3" s="3"/>
      <c r="E3" s="3"/>
      <c r="F3" s="3"/>
      <c r="G3" s="3"/>
      <c r="H3" s="3"/>
    </row>
    <row r="4">
      <c r="A4" s="4" t="s">
        <v>501</v>
      </c>
    </row>
    <row r="5">
      <c r="A5" s="5" t="s">
        <v>348</v>
      </c>
      <c r="B5" s="5" t="s">
        <v>169</v>
      </c>
      <c r="C5" s="5" t="s">
        <v>42</v>
      </c>
      <c r="D5" s="5" t="s">
        <v>502</v>
      </c>
      <c r="E5" s="5" t="s">
        <v>348</v>
      </c>
      <c r="F5" s="5" t="s">
        <v>169</v>
      </c>
      <c r="G5" s="5" t="s">
        <v>42</v>
      </c>
      <c r="H5" s="5" t="s">
        <v>502</v>
      </c>
    </row>
    <row r="6">
      <c r="A6" s="3" t="s">
        <v>220</v>
      </c>
      <c r="B6" s="44">
        <f>Assumptions!$E$5</f>
        <v>10</v>
      </c>
      <c r="C6" s="3" t="s">
        <v>503</v>
      </c>
      <c r="D6" s="3" t="s">
        <v>504</v>
      </c>
      <c r="E6" s="3" t="s">
        <v>505</v>
      </c>
      <c r="F6" s="10">
        <f t="array" ref="F6">INDEX('Profitability Forecast'!$B$8:$B$17,MATCH(B6,'Profitability Forecast'!$A$8:$A$17,0))</f>
        <v>1490</v>
      </c>
      <c r="G6" s="3" t="s">
        <v>49</v>
      </c>
      <c r="H6" s="3" t="s">
        <v>506</v>
      </c>
    </row>
    <row r="7">
      <c r="A7" s="3" t="s">
        <v>507</v>
      </c>
      <c r="B7" s="10">
        <f>F6*12</f>
        <v>17880</v>
      </c>
      <c r="C7" s="3" t="s">
        <v>508</v>
      </c>
      <c r="D7" s="3" t="s">
        <v>509</v>
      </c>
      <c r="E7" s="3" t="s">
        <v>510</v>
      </c>
      <c r="F7" s="10">
        <f>F6/B6</f>
        <v>149</v>
      </c>
      <c r="G7" s="3" t="s">
        <v>511</v>
      </c>
      <c r="H7" s="3" t="s">
        <v>512</v>
      </c>
    </row>
    <row r="8">
      <c r="A8" s="3" t="s">
        <v>513</v>
      </c>
      <c r="B8" s="10">
        <f t="array" ref="B8">INDEX('Profitability Forecast'!$P$8:$P$17,MATCH(B6,'Profitability Forecast'!$A$8:$A$17,0))</f>
        <v>1119.835</v>
      </c>
      <c r="C8" s="3" t="s">
        <v>49</v>
      </c>
      <c r="D8" s="3" t="s">
        <v>514</v>
      </c>
      <c r="E8" s="3" t="s">
        <v>515</v>
      </c>
      <c r="F8" s="15">
        <f t="array" ref="F8">INDEX('Profitability Forecast'!$R$8:$R$17,MATCH(B6,'Profitability Forecast'!$A$8:$A$17,0))</f>
        <v>0.7515671141</v>
      </c>
      <c r="G8" s="3" t="s">
        <v>516</v>
      </c>
      <c r="H8" s="3" t="s">
        <v>517</v>
      </c>
    </row>
    <row r="9">
      <c r="A9" s="3" t="s">
        <v>518</v>
      </c>
      <c r="B9" s="45">
        <f t="array" ref="B9">INDEX('Profitability Forecast'!$C$8:$C$17,MATCH(B6,'Profitability Forecast'!$A$8:$A$17,0))</f>
        <v>650</v>
      </c>
      <c r="C9" s="3" t="s">
        <v>71</v>
      </c>
      <c r="D9" s="3" t="s">
        <v>519</v>
      </c>
      <c r="E9" s="3" t="s">
        <v>520</v>
      </c>
      <c r="F9" s="46">
        <f>IF(B9=0,0,(F6-B8)/B9)</f>
        <v>0.5694846154</v>
      </c>
      <c r="G9" s="3" t="s">
        <v>240</v>
      </c>
      <c r="H9" s="3" t="s">
        <v>521</v>
      </c>
    </row>
    <row r="10">
      <c r="A10" s="3" t="s">
        <v>522</v>
      </c>
      <c r="B10" s="47">
        <f t="array" ref="B10">INDEX('Profitability Forecast'!$S$8:$S$17,MATCH(B6,'Profitability Forecast'!$A$8:$A$17,0))</f>
        <v>0.08333333333</v>
      </c>
      <c r="C10" s="3" t="s">
        <v>523</v>
      </c>
      <c r="D10" s="3" t="s">
        <v>524</v>
      </c>
      <c r="E10" s="3" t="s">
        <v>525</v>
      </c>
      <c r="F10" s="46">
        <f>IF(B10=0,0,F6/(B10*Assumptions!$B$40))</f>
        <v>149</v>
      </c>
      <c r="G10" s="3" t="s">
        <v>174</v>
      </c>
      <c r="H10" s="3" t="s">
        <v>526</v>
      </c>
    </row>
    <row r="11">
      <c r="A11" s="3" t="s">
        <v>192</v>
      </c>
      <c r="B11" s="45">
        <f>'Margins &amp; Unit Economics'!$K$6</f>
        <v>1</v>
      </c>
      <c r="C11" s="3" t="s">
        <v>527</v>
      </c>
      <c r="D11" s="3" t="s">
        <v>528</v>
      </c>
      <c r="E11" s="3" t="s">
        <v>529</v>
      </c>
      <c r="F11" s="48">
        <f>F6/'Fixed Operating Costs'!$G$20</f>
        <v>29.80596119</v>
      </c>
      <c r="G11" s="3" t="s">
        <v>530</v>
      </c>
      <c r="H11" s="3" t="s">
        <v>531</v>
      </c>
    </row>
    <row r="12">
      <c r="A12" s="3" t="s">
        <v>532</v>
      </c>
      <c r="B12" s="49">
        <f>IF(Assumptions!$B$62=0,0,Assumptions!$B$62/'Margins &amp; Unit Economics'!$E$6)</f>
        <v>0</v>
      </c>
      <c r="C12" s="3" t="s">
        <v>533</v>
      </c>
      <c r="D12" s="3" t="s">
        <v>534</v>
      </c>
      <c r="E12" s="3" t="s">
        <v>535</v>
      </c>
      <c r="F12" s="10">
        <f>IF(Assumptions!$B$63=0,0,'Margins &amp; Unit Economics'!$E$6/Assumptions!$B$63)</f>
        <v>0</v>
      </c>
      <c r="G12" s="3" t="s">
        <v>536</v>
      </c>
      <c r="H12" s="3" t="s">
        <v>537</v>
      </c>
    </row>
    <row r="13">
      <c r="A13" s="3"/>
      <c r="B13" s="3"/>
      <c r="C13" s="3"/>
      <c r="D13" s="3"/>
      <c r="E13" s="3"/>
      <c r="F13" s="3"/>
      <c r="G13" s="3"/>
      <c r="H13" s="3"/>
    </row>
    <row r="14">
      <c r="A14" s="3"/>
      <c r="B14" s="3"/>
      <c r="C14" s="3"/>
      <c r="D14" s="3"/>
      <c r="E14" s="3"/>
      <c r="F14" s="3"/>
      <c r="G14" s="3"/>
      <c r="H14" s="3"/>
    </row>
    <row r="15">
      <c r="A15" s="3"/>
      <c r="B15" s="3"/>
      <c r="C15" s="3"/>
      <c r="D15" s="3"/>
      <c r="E15" s="3"/>
      <c r="F15" s="3"/>
      <c r="G15" s="3"/>
      <c r="H15" s="3"/>
    </row>
    <row r="16">
      <c r="A16" s="4" t="s">
        <v>538</v>
      </c>
    </row>
    <row r="17">
      <c r="A17" s="5" t="s">
        <v>348</v>
      </c>
      <c r="B17" s="5" t="s">
        <v>539</v>
      </c>
      <c r="C17" s="5" t="s">
        <v>540</v>
      </c>
      <c r="D17" s="5" t="s">
        <v>541</v>
      </c>
      <c r="E17" s="5" t="s">
        <v>542</v>
      </c>
      <c r="F17" s="5" t="s">
        <v>543</v>
      </c>
      <c r="G17" s="3"/>
      <c r="H17" s="3"/>
    </row>
    <row r="18" ht="33.75" customHeight="1">
      <c r="A18" s="29" t="s">
        <v>83</v>
      </c>
      <c r="B18" s="29" t="s">
        <v>544</v>
      </c>
      <c r="C18" s="29" t="s">
        <v>545</v>
      </c>
      <c r="D18" s="29" t="s">
        <v>29</v>
      </c>
      <c r="E18" s="29" t="s">
        <v>289</v>
      </c>
      <c r="F18" s="29" t="s">
        <v>546</v>
      </c>
      <c r="G18" s="3"/>
      <c r="H18" s="3"/>
    </row>
    <row r="19" ht="33.75" customHeight="1">
      <c r="A19" s="29" t="s">
        <v>161</v>
      </c>
      <c r="B19" s="29" t="s">
        <v>547</v>
      </c>
      <c r="C19" s="29" t="s">
        <v>548</v>
      </c>
      <c r="D19" s="29" t="s">
        <v>549</v>
      </c>
      <c r="E19" s="29" t="s">
        <v>76</v>
      </c>
      <c r="F19" s="29" t="s">
        <v>550</v>
      </c>
      <c r="G19" s="3"/>
      <c r="H19" s="3"/>
    </row>
    <row r="20" ht="33.75" customHeight="1">
      <c r="A20" s="29" t="s">
        <v>551</v>
      </c>
      <c r="B20" s="29" t="s">
        <v>552</v>
      </c>
      <c r="C20" s="29" t="s">
        <v>553</v>
      </c>
      <c r="D20" s="29" t="s">
        <v>549</v>
      </c>
      <c r="E20" s="29" t="s">
        <v>554</v>
      </c>
      <c r="F20" s="29" t="s">
        <v>555</v>
      </c>
      <c r="G20" s="3"/>
      <c r="H20" s="3"/>
    </row>
    <row r="21" ht="33.75" customHeight="1">
      <c r="A21" s="29" t="s">
        <v>165</v>
      </c>
      <c r="B21" s="29" t="s">
        <v>556</v>
      </c>
      <c r="C21" s="29" t="s">
        <v>557</v>
      </c>
      <c r="D21" s="29" t="s">
        <v>549</v>
      </c>
      <c r="E21" s="29" t="s">
        <v>558</v>
      </c>
      <c r="F21" s="29" t="s">
        <v>559</v>
      </c>
      <c r="G21" s="3"/>
      <c r="H21" s="3"/>
    </row>
    <row r="22" ht="33.75" customHeight="1">
      <c r="A22" s="29" t="s">
        <v>532</v>
      </c>
      <c r="B22" s="29" t="s">
        <v>560</v>
      </c>
      <c r="C22" s="29" t="s">
        <v>561</v>
      </c>
      <c r="D22" s="29" t="s">
        <v>29</v>
      </c>
      <c r="E22" s="29" t="s">
        <v>177</v>
      </c>
      <c r="F22" s="29" t="s">
        <v>562</v>
      </c>
      <c r="G22" s="3"/>
      <c r="H22" s="3"/>
    </row>
    <row r="23" ht="33.75" customHeight="1">
      <c r="A23" s="29" t="s">
        <v>563</v>
      </c>
      <c r="B23" s="29" t="s">
        <v>564</v>
      </c>
      <c r="C23" s="29" t="s">
        <v>565</v>
      </c>
      <c r="D23" s="29" t="s">
        <v>29</v>
      </c>
      <c r="E23" s="29" t="s">
        <v>177</v>
      </c>
      <c r="F23" s="29" t="s">
        <v>566</v>
      </c>
      <c r="G23" s="3"/>
      <c r="H2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2:H2"/>
    <mergeCell ref="A4:H4"/>
    <mergeCell ref="A16:H1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6.0"/>
    <col customWidth="1" min="2" max="4" width="18.0"/>
    <col customWidth="1" min="5" max="5" width="3.0"/>
    <col customWidth="1" min="6" max="6" width="18.0"/>
    <col customWidth="1" min="7" max="9" width="16.0"/>
    <col customWidth="1" min="10" max="26" width="8.63"/>
  </cols>
  <sheetData>
    <row r="1" ht="30.0" customHeight="1">
      <c r="A1" s="1" t="s">
        <v>567</v>
      </c>
      <c r="I1" s="3"/>
    </row>
    <row r="2" ht="33.75" customHeight="1">
      <c r="A2" s="2" t="s">
        <v>568</v>
      </c>
      <c r="I2" s="3"/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3" t="s">
        <v>162</v>
      </c>
      <c r="B4" s="3">
        <f>Assumptions!$E$5</f>
        <v>10</v>
      </c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4" t="s">
        <v>569</v>
      </c>
      <c r="E6" s="3"/>
      <c r="F6" s="4" t="s">
        <v>570</v>
      </c>
      <c r="I6" s="3"/>
    </row>
    <row r="7">
      <c r="A7" s="5" t="s">
        <v>35</v>
      </c>
      <c r="B7" s="5" t="s">
        <v>149</v>
      </c>
      <c r="C7" s="5" t="s">
        <v>13</v>
      </c>
      <c r="D7" s="5" t="s">
        <v>155</v>
      </c>
      <c r="E7" s="3"/>
      <c r="F7" s="5" t="s">
        <v>45</v>
      </c>
      <c r="G7" s="50">
        <v>0.4</v>
      </c>
      <c r="H7" s="50">
        <v>0.65</v>
      </c>
      <c r="I7" s="50">
        <v>1.0</v>
      </c>
    </row>
    <row r="8">
      <c r="A8" s="3" t="s">
        <v>144</v>
      </c>
      <c r="B8" s="37">
        <f>Assumptions!$B$25</f>
        <v>1</v>
      </c>
      <c r="C8" s="37">
        <f>Assumptions!$B$26</f>
        <v>0.65</v>
      </c>
      <c r="D8" s="37">
        <f>Assumptions!$B$27</f>
        <v>0.4</v>
      </c>
      <c r="E8" s="3"/>
      <c r="F8" s="30">
        <v>129.0</v>
      </c>
      <c r="G8" s="30">
        <f>$F8-'Fixed Operating Costs'!$G$20-(Assumptions!$B$14+Assumptions!$B$60)*Assumptions!$B$42-(Assumptions!$B$13*$G$7+Assumptions!$B$59)*Assumptions!$B$41-MIN(Assumptions!$B$72+MAX(0,(Assumptions!$B$13*$G$7+Assumptions!$B$59)-Assumptions!$C$72)*Assumptions!$D$72,Assumptions!$B$73+MAX(0,(Assumptions!$B$13*$G$7+Assumptions!$B$59)-Assumptions!$C$73)*Assumptions!$D$73,Assumptions!$B$74+MAX(0,(Assumptions!$B$13*$G$7+Assumptions!$B$59)-Assumptions!$C$74)*Assumptions!$D$74)-(Assumptions!$B$13*$G$7+Assumptions!$B$59)*((Assumptions!$B$47*Assumptions!$B$45/1000000)+(Assumptions!$B$48*Assumptions!$B$46/1000000))-MAX(0,(((Assumptions!$B$13*$G$7+Assumptions!$B$59)/Assumptions!$B$15)*Assumptions!$B$52+((Assumptions!$B$13*$G$7+Assumptions!$B$59)/Assumptions!$B$15)*Assumptions!$B$33*Assumptions!$B$53)-Assumptions!$B$50)*Assumptions!$B$51-$F8*Assumptions!$B$61-(Assumptions!$B$55+Assumptions!$B$57)-Assumptions!$B$16*$G$7*Assumptions!$B$38</f>
        <v>50.37</v>
      </c>
      <c r="H8" s="30">
        <f>$F8-'Fixed Operating Costs'!$G$20-(Assumptions!$B$14+Assumptions!$B$60)*Assumptions!$B$42-(Assumptions!$B$13*$H$7+Assumptions!$B$59)*Assumptions!$B$41-MIN(Assumptions!$B$72+MAX(0,(Assumptions!$B$13*$H$7+Assumptions!$B$59)-Assumptions!$C$72)*Assumptions!$D$72,Assumptions!$B$73+MAX(0,(Assumptions!$B$13*$H$7+Assumptions!$B$59)-Assumptions!$C$73)*Assumptions!$D$73,Assumptions!$B$74+MAX(0,(Assumptions!$B$13*$H$7+Assumptions!$B$59)-Assumptions!$C$74)*Assumptions!$D$74)-(Assumptions!$B$13*$H$7+Assumptions!$B$59)*((Assumptions!$B$47*Assumptions!$B$45/1000000)+(Assumptions!$B$48*Assumptions!$B$46/1000000))-MAX(0,(((Assumptions!$B$13*$H$7+Assumptions!$B$59)/Assumptions!$B$15)*Assumptions!$B$52+((Assumptions!$B$13*$H$7+Assumptions!$B$59)/Assumptions!$B$15)*Assumptions!$B$33*Assumptions!$B$53)-Assumptions!$B$50)*Assumptions!$B$51-$F8*Assumptions!$B$61-(Assumptions!$B$55+Assumptions!$B$57)-Assumptions!$B$16*$H$7*Assumptions!$B$38</f>
        <v>37.6575</v>
      </c>
      <c r="I8" s="30">
        <f>$F8-'Fixed Operating Costs'!$G$20-(Assumptions!$B$14+Assumptions!$B$60)*Assumptions!$B$42-(Assumptions!$B$13*$I$7+Assumptions!$B$59)*Assumptions!$B$41-MIN(Assumptions!$B$72+MAX(0,(Assumptions!$B$13*$I$7+Assumptions!$B$59)-Assumptions!$C$72)*Assumptions!$D$72,Assumptions!$B$73+MAX(0,(Assumptions!$B$13*$I$7+Assumptions!$B$59)-Assumptions!$C$73)*Assumptions!$D$73,Assumptions!$B$74+MAX(0,(Assumptions!$B$13*$I$7+Assumptions!$B$59)-Assumptions!$C$74)*Assumptions!$D$74)-(Assumptions!$B$13*$I$7+Assumptions!$B$59)*((Assumptions!$B$47*Assumptions!$B$45/1000000)+(Assumptions!$B$48*Assumptions!$B$46/1000000))-MAX(0,(((Assumptions!$B$13*$I$7+Assumptions!$B$59)/Assumptions!$B$15)*Assumptions!$B$52+((Assumptions!$B$13*$I$7+Assumptions!$B$59)/Assumptions!$B$15)*Assumptions!$B$33*Assumptions!$B$53)-Assumptions!$B$50)*Assumptions!$B$51-$F8*Assumptions!$B$61-(Assumptions!$B$55+Assumptions!$B$57)-Assumptions!$B$16*$I$7*Assumptions!$B$38</f>
        <v>17.86</v>
      </c>
    </row>
    <row r="9">
      <c r="A9" s="3" t="s">
        <v>161</v>
      </c>
      <c r="B9" s="37">
        <f>Assumptions!$C$25</f>
        <v>1</v>
      </c>
      <c r="C9" s="37">
        <f>Assumptions!$C$26</f>
        <v>0.5</v>
      </c>
      <c r="D9" s="37">
        <f>Assumptions!$C$27</f>
        <v>0.25</v>
      </c>
      <c r="E9" s="3"/>
      <c r="F9" s="30">
        <v>149.0</v>
      </c>
      <c r="G9" s="30">
        <f>$F9-'Fixed Operating Costs'!$G$20-(Assumptions!$B$14+Assumptions!$B$60)*Assumptions!$B$42-(Assumptions!$B$13*$G$7+Assumptions!$B$59)*Assumptions!$B$41-MIN(Assumptions!$B$72+MAX(0,(Assumptions!$B$13*$G$7+Assumptions!$B$59)-Assumptions!$C$72)*Assumptions!$D$72,Assumptions!$B$73+MAX(0,(Assumptions!$B$13*$G$7+Assumptions!$B$59)-Assumptions!$C$73)*Assumptions!$D$73,Assumptions!$B$74+MAX(0,(Assumptions!$B$13*$G$7+Assumptions!$B$59)-Assumptions!$C$74)*Assumptions!$D$74)-(Assumptions!$B$13*$G$7+Assumptions!$B$59)*((Assumptions!$B$47*Assumptions!$B$45/1000000)+(Assumptions!$B$48*Assumptions!$B$46/1000000))-MAX(0,(((Assumptions!$B$13*$G$7+Assumptions!$B$59)/Assumptions!$B$15)*Assumptions!$B$52+((Assumptions!$B$13*$G$7+Assumptions!$B$59)/Assumptions!$B$15)*Assumptions!$B$33*Assumptions!$B$53)-Assumptions!$B$50)*Assumptions!$B$51-$F9*Assumptions!$B$61-(Assumptions!$B$55+Assumptions!$B$57)-Assumptions!$B$16*$G$7*Assumptions!$B$38</f>
        <v>70.37</v>
      </c>
      <c r="H9" s="30">
        <f>$F9-'Fixed Operating Costs'!$G$20-(Assumptions!$B$14+Assumptions!$B$60)*Assumptions!$B$42-(Assumptions!$B$13*$H$7+Assumptions!$B$59)*Assumptions!$B$41-MIN(Assumptions!$B$72+MAX(0,(Assumptions!$B$13*$H$7+Assumptions!$B$59)-Assumptions!$C$72)*Assumptions!$D$72,Assumptions!$B$73+MAX(0,(Assumptions!$B$13*$H$7+Assumptions!$B$59)-Assumptions!$C$73)*Assumptions!$D$73,Assumptions!$B$74+MAX(0,(Assumptions!$B$13*$H$7+Assumptions!$B$59)-Assumptions!$C$74)*Assumptions!$D$74)-(Assumptions!$B$13*$H$7+Assumptions!$B$59)*((Assumptions!$B$47*Assumptions!$B$45/1000000)+(Assumptions!$B$48*Assumptions!$B$46/1000000))-MAX(0,(((Assumptions!$B$13*$H$7+Assumptions!$B$59)/Assumptions!$B$15)*Assumptions!$B$52+((Assumptions!$B$13*$H$7+Assumptions!$B$59)/Assumptions!$B$15)*Assumptions!$B$33*Assumptions!$B$53)-Assumptions!$B$50)*Assumptions!$B$51-$F9*Assumptions!$B$61-(Assumptions!$B$55+Assumptions!$B$57)-Assumptions!$B$16*$H$7*Assumptions!$B$38</f>
        <v>57.6575</v>
      </c>
      <c r="I9" s="30">
        <f>$F9-'Fixed Operating Costs'!$G$20-(Assumptions!$B$14+Assumptions!$B$60)*Assumptions!$B$42-(Assumptions!$B$13*$I$7+Assumptions!$B$59)*Assumptions!$B$41-MIN(Assumptions!$B$72+MAX(0,(Assumptions!$B$13*$I$7+Assumptions!$B$59)-Assumptions!$C$72)*Assumptions!$D$72,Assumptions!$B$73+MAX(0,(Assumptions!$B$13*$I$7+Assumptions!$B$59)-Assumptions!$C$73)*Assumptions!$D$73,Assumptions!$B$74+MAX(0,(Assumptions!$B$13*$I$7+Assumptions!$B$59)-Assumptions!$C$74)*Assumptions!$D$74)-(Assumptions!$B$13*$I$7+Assumptions!$B$59)*((Assumptions!$B$47*Assumptions!$B$45/1000000)+(Assumptions!$B$48*Assumptions!$B$46/1000000))-MAX(0,(((Assumptions!$B$13*$I$7+Assumptions!$B$59)/Assumptions!$B$15)*Assumptions!$B$52+((Assumptions!$B$13*$I$7+Assumptions!$B$59)/Assumptions!$B$15)*Assumptions!$B$33*Assumptions!$B$53)-Assumptions!$B$50)*Assumptions!$B$51-$F9*Assumptions!$B$61-(Assumptions!$B$55+Assumptions!$B$57)-Assumptions!$B$16*$I$7*Assumptions!$B$38</f>
        <v>37.86</v>
      </c>
    </row>
    <row r="10">
      <c r="A10" s="3" t="s">
        <v>163</v>
      </c>
      <c r="B10" s="37">
        <f>Assumptions!$D$25</f>
        <v>1</v>
      </c>
      <c r="C10" s="37">
        <f>Assumptions!$D$26</f>
        <v>0.5</v>
      </c>
      <c r="D10" s="37">
        <f>Assumptions!$D$27</f>
        <v>0.25</v>
      </c>
      <c r="E10" s="3"/>
      <c r="F10" s="30">
        <v>169.0</v>
      </c>
      <c r="G10" s="30">
        <f>$F10-'Fixed Operating Costs'!$G$20-(Assumptions!$B$14+Assumptions!$B$60)*Assumptions!$B$42-(Assumptions!$B$13*$G$7+Assumptions!$B$59)*Assumptions!$B$41-MIN(Assumptions!$B$72+MAX(0,(Assumptions!$B$13*$G$7+Assumptions!$B$59)-Assumptions!$C$72)*Assumptions!$D$72,Assumptions!$B$73+MAX(0,(Assumptions!$B$13*$G$7+Assumptions!$B$59)-Assumptions!$C$73)*Assumptions!$D$73,Assumptions!$B$74+MAX(0,(Assumptions!$B$13*$G$7+Assumptions!$B$59)-Assumptions!$C$74)*Assumptions!$D$74)-(Assumptions!$B$13*$G$7+Assumptions!$B$59)*((Assumptions!$B$47*Assumptions!$B$45/1000000)+(Assumptions!$B$48*Assumptions!$B$46/1000000))-MAX(0,(((Assumptions!$B$13*$G$7+Assumptions!$B$59)/Assumptions!$B$15)*Assumptions!$B$52+((Assumptions!$B$13*$G$7+Assumptions!$B$59)/Assumptions!$B$15)*Assumptions!$B$33*Assumptions!$B$53)-Assumptions!$B$50)*Assumptions!$B$51-$F10*Assumptions!$B$61-(Assumptions!$B$55+Assumptions!$B$57)-Assumptions!$B$16*$G$7*Assumptions!$B$38</f>
        <v>90.37</v>
      </c>
      <c r="H10" s="30">
        <f>$F10-'Fixed Operating Costs'!$G$20-(Assumptions!$B$14+Assumptions!$B$60)*Assumptions!$B$42-(Assumptions!$B$13*$H$7+Assumptions!$B$59)*Assumptions!$B$41-MIN(Assumptions!$B$72+MAX(0,(Assumptions!$B$13*$H$7+Assumptions!$B$59)-Assumptions!$C$72)*Assumptions!$D$72,Assumptions!$B$73+MAX(0,(Assumptions!$B$13*$H$7+Assumptions!$B$59)-Assumptions!$C$73)*Assumptions!$D$73,Assumptions!$B$74+MAX(0,(Assumptions!$B$13*$H$7+Assumptions!$B$59)-Assumptions!$C$74)*Assumptions!$D$74)-(Assumptions!$B$13*$H$7+Assumptions!$B$59)*((Assumptions!$B$47*Assumptions!$B$45/1000000)+(Assumptions!$B$48*Assumptions!$B$46/1000000))-MAX(0,(((Assumptions!$B$13*$H$7+Assumptions!$B$59)/Assumptions!$B$15)*Assumptions!$B$52+((Assumptions!$B$13*$H$7+Assumptions!$B$59)/Assumptions!$B$15)*Assumptions!$B$33*Assumptions!$B$53)-Assumptions!$B$50)*Assumptions!$B$51-$F10*Assumptions!$B$61-(Assumptions!$B$55+Assumptions!$B$57)-Assumptions!$B$16*$H$7*Assumptions!$B$38</f>
        <v>77.6575</v>
      </c>
      <c r="I10" s="30">
        <f>$F10-'Fixed Operating Costs'!$G$20-(Assumptions!$B$14+Assumptions!$B$60)*Assumptions!$B$42-(Assumptions!$B$13*$I$7+Assumptions!$B$59)*Assumptions!$B$41-MIN(Assumptions!$B$72+MAX(0,(Assumptions!$B$13*$I$7+Assumptions!$B$59)-Assumptions!$C$72)*Assumptions!$D$72,Assumptions!$B$73+MAX(0,(Assumptions!$B$13*$I$7+Assumptions!$B$59)-Assumptions!$C$73)*Assumptions!$D$73,Assumptions!$B$74+MAX(0,(Assumptions!$B$13*$I$7+Assumptions!$B$59)-Assumptions!$C$74)*Assumptions!$D$74)-(Assumptions!$B$13*$I$7+Assumptions!$B$59)*((Assumptions!$B$47*Assumptions!$B$45/1000000)+(Assumptions!$B$48*Assumptions!$B$46/1000000))-MAX(0,(((Assumptions!$B$13*$I$7+Assumptions!$B$59)/Assumptions!$B$15)*Assumptions!$B$52+((Assumptions!$B$13*$I$7+Assumptions!$B$59)/Assumptions!$B$15)*Assumptions!$B$33*Assumptions!$B$53)-Assumptions!$B$50)*Assumptions!$B$51-$F10*Assumptions!$B$61-(Assumptions!$B$55+Assumptions!$B$57)-Assumptions!$B$16*$I$7*Assumptions!$B$38</f>
        <v>57.86</v>
      </c>
    </row>
    <row r="11">
      <c r="A11" s="3" t="s">
        <v>473</v>
      </c>
      <c r="B11" s="30">
        <f>$B$4*Assumptions!$B$11</f>
        <v>1490</v>
      </c>
      <c r="C11" s="30">
        <f>$B$4*Assumptions!$B$11</f>
        <v>1490</v>
      </c>
      <c r="D11" s="30">
        <f>$B$4*Assumptions!$B$11</f>
        <v>1490</v>
      </c>
      <c r="E11" s="3"/>
      <c r="F11" s="30">
        <v>189.0</v>
      </c>
      <c r="G11" s="30">
        <f>$F11-'Fixed Operating Costs'!$G$20-(Assumptions!$B$14+Assumptions!$B$60)*Assumptions!$B$42-(Assumptions!$B$13*$G$7+Assumptions!$B$59)*Assumptions!$B$41-MIN(Assumptions!$B$72+MAX(0,(Assumptions!$B$13*$G$7+Assumptions!$B$59)-Assumptions!$C$72)*Assumptions!$D$72,Assumptions!$B$73+MAX(0,(Assumptions!$B$13*$G$7+Assumptions!$B$59)-Assumptions!$C$73)*Assumptions!$D$73,Assumptions!$B$74+MAX(0,(Assumptions!$B$13*$G$7+Assumptions!$B$59)-Assumptions!$C$74)*Assumptions!$D$74)-(Assumptions!$B$13*$G$7+Assumptions!$B$59)*((Assumptions!$B$47*Assumptions!$B$45/1000000)+(Assumptions!$B$48*Assumptions!$B$46/1000000))-MAX(0,(((Assumptions!$B$13*$G$7+Assumptions!$B$59)/Assumptions!$B$15)*Assumptions!$B$52+((Assumptions!$B$13*$G$7+Assumptions!$B$59)/Assumptions!$B$15)*Assumptions!$B$33*Assumptions!$B$53)-Assumptions!$B$50)*Assumptions!$B$51-$F11*Assumptions!$B$61-(Assumptions!$B$55+Assumptions!$B$57)-Assumptions!$B$16*$G$7*Assumptions!$B$38</f>
        <v>110.37</v>
      </c>
      <c r="H11" s="30">
        <f>$F11-'Fixed Operating Costs'!$G$20-(Assumptions!$B$14+Assumptions!$B$60)*Assumptions!$B$42-(Assumptions!$B$13*$H$7+Assumptions!$B$59)*Assumptions!$B$41-MIN(Assumptions!$B$72+MAX(0,(Assumptions!$B$13*$H$7+Assumptions!$B$59)-Assumptions!$C$72)*Assumptions!$D$72,Assumptions!$B$73+MAX(0,(Assumptions!$B$13*$H$7+Assumptions!$B$59)-Assumptions!$C$73)*Assumptions!$D$73,Assumptions!$B$74+MAX(0,(Assumptions!$B$13*$H$7+Assumptions!$B$59)-Assumptions!$C$74)*Assumptions!$D$74)-(Assumptions!$B$13*$H$7+Assumptions!$B$59)*((Assumptions!$B$47*Assumptions!$B$45/1000000)+(Assumptions!$B$48*Assumptions!$B$46/1000000))-MAX(0,(((Assumptions!$B$13*$H$7+Assumptions!$B$59)/Assumptions!$B$15)*Assumptions!$B$52+((Assumptions!$B$13*$H$7+Assumptions!$B$59)/Assumptions!$B$15)*Assumptions!$B$33*Assumptions!$B$53)-Assumptions!$B$50)*Assumptions!$B$51-$F11*Assumptions!$B$61-(Assumptions!$B$55+Assumptions!$B$57)-Assumptions!$B$16*$H$7*Assumptions!$B$38</f>
        <v>97.6575</v>
      </c>
      <c r="I11" s="30">
        <f>$F11-'Fixed Operating Costs'!$G$20-(Assumptions!$B$14+Assumptions!$B$60)*Assumptions!$B$42-(Assumptions!$B$13*$I$7+Assumptions!$B$59)*Assumptions!$B$41-MIN(Assumptions!$B$72+MAX(0,(Assumptions!$B$13*$I$7+Assumptions!$B$59)-Assumptions!$C$72)*Assumptions!$D$72,Assumptions!$B$73+MAX(0,(Assumptions!$B$13*$I$7+Assumptions!$B$59)-Assumptions!$C$73)*Assumptions!$D$73,Assumptions!$B$74+MAX(0,(Assumptions!$B$13*$I$7+Assumptions!$B$59)-Assumptions!$C$74)*Assumptions!$D$74)-(Assumptions!$B$13*$I$7+Assumptions!$B$59)*((Assumptions!$B$47*Assumptions!$B$45/1000000)+(Assumptions!$B$48*Assumptions!$B$46/1000000))-MAX(0,(((Assumptions!$B$13*$I$7+Assumptions!$B$59)/Assumptions!$B$15)*Assumptions!$B$52+((Assumptions!$B$13*$I$7+Assumptions!$B$59)/Assumptions!$B$15)*Assumptions!$B$33*Assumptions!$B$53)-Assumptions!$B$50)*Assumptions!$B$51-$F11*Assumptions!$B$61-(Assumptions!$B$55+Assumptions!$B$57)-Assumptions!$B$16*$I$7*Assumptions!$B$38</f>
        <v>77.86</v>
      </c>
    </row>
    <row r="12">
      <c r="A12" s="3" t="s">
        <v>474</v>
      </c>
      <c r="B12" s="41">
        <f>$B$4*Assumptions!$B$13*B8+Assumptions!$B$59</f>
        <v>1000</v>
      </c>
      <c r="C12" s="41">
        <f>$B$4*Assumptions!$B$13*C8+Assumptions!$B$59</f>
        <v>650</v>
      </c>
      <c r="D12" s="41">
        <f>$B$4*Assumptions!$B$13*D8+Assumptions!$B$59</f>
        <v>400</v>
      </c>
      <c r="E12" s="3"/>
      <c r="F12" s="30">
        <v>199.0</v>
      </c>
      <c r="G12" s="30">
        <f>$F12-'Fixed Operating Costs'!$G$20-(Assumptions!$B$14+Assumptions!$B$60)*Assumptions!$B$42-(Assumptions!$B$13*$G$7+Assumptions!$B$59)*Assumptions!$B$41-MIN(Assumptions!$B$72+MAX(0,(Assumptions!$B$13*$G$7+Assumptions!$B$59)-Assumptions!$C$72)*Assumptions!$D$72,Assumptions!$B$73+MAX(0,(Assumptions!$B$13*$G$7+Assumptions!$B$59)-Assumptions!$C$73)*Assumptions!$D$73,Assumptions!$B$74+MAX(0,(Assumptions!$B$13*$G$7+Assumptions!$B$59)-Assumptions!$C$74)*Assumptions!$D$74)-(Assumptions!$B$13*$G$7+Assumptions!$B$59)*((Assumptions!$B$47*Assumptions!$B$45/1000000)+(Assumptions!$B$48*Assumptions!$B$46/1000000))-MAX(0,(((Assumptions!$B$13*$G$7+Assumptions!$B$59)/Assumptions!$B$15)*Assumptions!$B$52+((Assumptions!$B$13*$G$7+Assumptions!$B$59)/Assumptions!$B$15)*Assumptions!$B$33*Assumptions!$B$53)-Assumptions!$B$50)*Assumptions!$B$51-$F12*Assumptions!$B$61-(Assumptions!$B$55+Assumptions!$B$57)-Assumptions!$B$16*$G$7*Assumptions!$B$38</f>
        <v>120.37</v>
      </c>
      <c r="H12" s="30">
        <f>$F12-'Fixed Operating Costs'!$G$20-(Assumptions!$B$14+Assumptions!$B$60)*Assumptions!$B$42-(Assumptions!$B$13*$H$7+Assumptions!$B$59)*Assumptions!$B$41-MIN(Assumptions!$B$72+MAX(0,(Assumptions!$B$13*$H$7+Assumptions!$B$59)-Assumptions!$C$72)*Assumptions!$D$72,Assumptions!$B$73+MAX(0,(Assumptions!$B$13*$H$7+Assumptions!$B$59)-Assumptions!$C$73)*Assumptions!$D$73,Assumptions!$B$74+MAX(0,(Assumptions!$B$13*$H$7+Assumptions!$B$59)-Assumptions!$C$74)*Assumptions!$D$74)-(Assumptions!$B$13*$H$7+Assumptions!$B$59)*((Assumptions!$B$47*Assumptions!$B$45/1000000)+(Assumptions!$B$48*Assumptions!$B$46/1000000))-MAX(0,(((Assumptions!$B$13*$H$7+Assumptions!$B$59)/Assumptions!$B$15)*Assumptions!$B$52+((Assumptions!$B$13*$H$7+Assumptions!$B$59)/Assumptions!$B$15)*Assumptions!$B$33*Assumptions!$B$53)-Assumptions!$B$50)*Assumptions!$B$51-$F12*Assumptions!$B$61-(Assumptions!$B$55+Assumptions!$B$57)-Assumptions!$B$16*$H$7*Assumptions!$B$38</f>
        <v>107.6575</v>
      </c>
      <c r="I12" s="30">
        <f>$F12-'Fixed Operating Costs'!$G$20-(Assumptions!$B$14+Assumptions!$B$60)*Assumptions!$B$42-(Assumptions!$B$13*$I$7+Assumptions!$B$59)*Assumptions!$B$41-MIN(Assumptions!$B$72+MAX(0,(Assumptions!$B$13*$I$7+Assumptions!$B$59)-Assumptions!$C$72)*Assumptions!$D$72,Assumptions!$B$73+MAX(0,(Assumptions!$B$13*$I$7+Assumptions!$B$59)-Assumptions!$C$73)*Assumptions!$D$73,Assumptions!$B$74+MAX(0,(Assumptions!$B$13*$I$7+Assumptions!$B$59)-Assumptions!$C$74)*Assumptions!$D$74)-(Assumptions!$B$13*$I$7+Assumptions!$B$59)*((Assumptions!$B$47*Assumptions!$B$45/1000000)+(Assumptions!$B$48*Assumptions!$B$46/1000000))-MAX(0,(((Assumptions!$B$13*$I$7+Assumptions!$B$59)/Assumptions!$B$15)*Assumptions!$B$52+((Assumptions!$B$13*$I$7+Assumptions!$B$59)/Assumptions!$B$15)*Assumptions!$B$33*Assumptions!$B$53)-Assumptions!$B$50)*Assumptions!$B$51-$F12*Assumptions!$B$61-(Assumptions!$B$55+Assumptions!$B$57)-Assumptions!$B$16*$I$7*Assumptions!$B$38</f>
        <v>87.86</v>
      </c>
    </row>
    <row r="13">
      <c r="A13" s="3" t="s">
        <v>475</v>
      </c>
      <c r="B13" s="41">
        <f>B12/Assumptions!$B$15</f>
        <v>500</v>
      </c>
      <c r="C13" s="41">
        <f>C12/Assumptions!$B$15</f>
        <v>325</v>
      </c>
      <c r="D13" s="41">
        <f>D12/Assumptions!$B$15</f>
        <v>200</v>
      </c>
      <c r="E13" s="3"/>
      <c r="F13" s="3"/>
      <c r="G13" s="3"/>
      <c r="H13" s="3"/>
      <c r="I13" s="3"/>
    </row>
    <row r="14">
      <c r="A14" s="3" t="s">
        <v>599</v>
      </c>
      <c r="B14" s="12">
        <f>($B$4*Assumptions!$B$14+Assumptions!$B$60)*Assumptions!$B$42</f>
        <v>12.65</v>
      </c>
      <c r="C14" s="12">
        <f>($B$4*Assumptions!$B$14+Assumptions!$B$60)*Assumptions!$B$42</f>
        <v>12.65</v>
      </c>
      <c r="D14" s="12">
        <f>($B$4*Assumptions!$B$14+Assumptions!$B$60)*Assumptions!$B$42</f>
        <v>12.65</v>
      </c>
      <c r="E14" s="3"/>
      <c r="F14" s="3"/>
      <c r="G14" s="3"/>
      <c r="H14" s="3"/>
      <c r="I14" s="3"/>
    </row>
    <row r="15">
      <c r="A15" s="3" t="s">
        <v>63</v>
      </c>
      <c r="B15" s="12">
        <f>B12*Assumptions!$B$41</f>
        <v>8.5</v>
      </c>
      <c r="C15" s="12">
        <f>C12*Assumptions!$B$41</f>
        <v>5.525</v>
      </c>
      <c r="D15" s="12">
        <f>D12*Assumptions!$B$41</f>
        <v>3.4</v>
      </c>
      <c r="E15" s="3"/>
      <c r="F15" s="3"/>
      <c r="G15" s="3"/>
      <c r="H15" s="3"/>
      <c r="I15" s="3"/>
    </row>
    <row r="16">
      <c r="A16" s="3" t="s">
        <v>65</v>
      </c>
      <c r="B16" s="12">
        <f>MIN(Assumptions!$B$72+MAX(0,B12-Assumptions!$C$72)*Assumptions!$D$72,Assumptions!$B$73+MAX(0,B12-Assumptions!$C$73)*Assumptions!$D$73,Assumptions!$B$74+MAX(0,B12-Assumptions!$C$74)*Assumptions!$D$74,Assumptions!$B$75+MAX(0,B12-Assumptions!$C$75)*Assumptions!$D$75,Assumptions!$B$76+MAX(0,B12-Assumptions!$C$76)*Assumptions!$D$76)</f>
        <v>80</v>
      </c>
      <c r="C16" s="12">
        <f>MIN(Assumptions!$B$72+MAX(0,C12-Assumptions!$C$72)*Assumptions!$D$72,Assumptions!$B$73+MAX(0,C12-Assumptions!$C$73)*Assumptions!$D$73,Assumptions!$B$74+MAX(0,C12-Assumptions!$C$74)*Assumptions!$D$74,Assumptions!$B$75+MAX(0,C12-Assumptions!$C$75)*Assumptions!$D$75,Assumptions!$B$76+MAX(0,C12-Assumptions!$C$76)*Assumptions!$D$76)</f>
        <v>52</v>
      </c>
      <c r="D16" s="12">
        <f>MIN(Assumptions!$B$72+MAX(0,D12-Assumptions!$C$72)*Assumptions!$D$72,Assumptions!$B$73+MAX(0,D12-Assumptions!$C$73)*Assumptions!$D$73,Assumptions!$B$74+MAX(0,D12-Assumptions!$C$74)*Assumptions!$D$74,Assumptions!$B$75+MAX(0,D12-Assumptions!$C$75)*Assumptions!$D$75,Assumptions!$B$76+MAX(0,D12-Assumptions!$C$76)*Assumptions!$D$76)</f>
        <v>32</v>
      </c>
      <c r="E16" s="3"/>
      <c r="F16" s="3"/>
      <c r="G16" s="3"/>
      <c r="H16" s="3"/>
      <c r="I16" s="3"/>
    </row>
    <row r="17">
      <c r="A17" s="3" t="s">
        <v>66</v>
      </c>
      <c r="B17" s="12">
        <f>B12*((Assumptions!$B$47*Assumptions!$B$45/1000000)+(Assumptions!$B$48*Assumptions!$B$46/1000000))</f>
        <v>0</v>
      </c>
      <c r="C17" s="12">
        <f>C12*((Assumptions!$B$47*Assumptions!$B$45/1000000)+(Assumptions!$B$48*Assumptions!$B$46/1000000))</f>
        <v>0</v>
      </c>
      <c r="D17" s="12">
        <f>D12*((Assumptions!$B$47*Assumptions!$B$45/1000000)+(Assumptions!$B$48*Assumptions!$B$46/1000000))</f>
        <v>0</v>
      </c>
      <c r="E17" s="3"/>
      <c r="F17" s="3"/>
      <c r="G17" s="3"/>
      <c r="H17" s="3"/>
      <c r="I17" s="3"/>
    </row>
    <row r="18">
      <c r="A18" s="3" t="s">
        <v>67</v>
      </c>
      <c r="B18" s="41">
        <f>B13*Assumptions!$B$52+B13*Assumptions!$E$25*Assumptions!$B$53</f>
        <v>0</v>
      </c>
      <c r="C18" s="41">
        <f>C13*Assumptions!$B$52+C13*Assumptions!$E$26*Assumptions!$B$53</f>
        <v>0</v>
      </c>
      <c r="D18" s="41">
        <f>D13*Assumptions!$B$52+D13*Assumptions!$E$27*Assumptions!$B$53</f>
        <v>0</v>
      </c>
      <c r="E18" s="3"/>
      <c r="F18" s="3"/>
      <c r="G18" s="3"/>
      <c r="H18" s="3"/>
      <c r="I18" s="3"/>
    </row>
    <row r="19">
      <c r="A19" s="3" t="s">
        <v>279</v>
      </c>
      <c r="B19" s="12">
        <f>MAX(0,B18-Assumptions!$B$50)*Assumptions!$B$51</f>
        <v>0</v>
      </c>
      <c r="C19" s="12">
        <f>MAX(0,C18-Assumptions!$B$50)*Assumptions!$B$51</f>
        <v>0</v>
      </c>
      <c r="D19" s="12">
        <f>MAX(0,D18-Assumptions!$B$50)*Assumptions!$B$51</f>
        <v>0</v>
      </c>
      <c r="E19" s="3"/>
      <c r="F19" s="3"/>
      <c r="G19" s="3"/>
      <c r="H19" s="3"/>
      <c r="I19" s="3"/>
    </row>
    <row r="20">
      <c r="A20" s="3" t="s">
        <v>476</v>
      </c>
      <c r="B20" s="12">
        <f>B11*Assumptions!$B$61</f>
        <v>0</v>
      </c>
      <c r="C20" s="12">
        <f>C11*Assumptions!$B$61</f>
        <v>0</v>
      </c>
      <c r="D20" s="12">
        <f>D11*Assumptions!$B$61</f>
        <v>0</v>
      </c>
      <c r="E20" s="3"/>
      <c r="F20" s="3"/>
      <c r="G20" s="3"/>
      <c r="H20" s="3"/>
      <c r="I20" s="3"/>
    </row>
    <row r="21" ht="15.75" customHeight="1">
      <c r="A21" s="3" t="s">
        <v>722</v>
      </c>
      <c r="B21" s="12">
        <f>$B$4*(Assumptions!$B$55+Assumptions!$B$57)</f>
        <v>0</v>
      </c>
      <c r="C21" s="12">
        <f>$B$4*(Assumptions!$B$55+Assumptions!$B$57)</f>
        <v>0</v>
      </c>
      <c r="D21" s="12">
        <f>$B$4*(Assumptions!$B$55+Assumptions!$B$57)</f>
        <v>0</v>
      </c>
      <c r="E21" s="3"/>
      <c r="F21" s="3"/>
      <c r="G21" s="3"/>
      <c r="H21" s="3"/>
      <c r="I21" s="3"/>
    </row>
    <row r="22" ht="15.75" customHeight="1">
      <c r="A22" s="3" t="s">
        <v>489</v>
      </c>
      <c r="B22" s="12">
        <f>$B$4*Assumptions!$B$16*B9*Assumptions!$B$38</f>
        <v>500</v>
      </c>
      <c r="C22" s="12">
        <f>$B$4*Assumptions!$B$16*C9*Assumptions!$B$38</f>
        <v>250</v>
      </c>
      <c r="D22" s="12">
        <f>$B$4*Assumptions!$B$16*D9*Assumptions!$B$38</f>
        <v>125</v>
      </c>
      <c r="E22" s="3"/>
      <c r="F22" s="3"/>
      <c r="G22" s="3"/>
      <c r="H22" s="3"/>
      <c r="I22" s="3"/>
    </row>
    <row r="23" ht="15.75" customHeight="1">
      <c r="A23" s="3" t="s">
        <v>77</v>
      </c>
      <c r="B23" s="12">
        <f>$B$4*Assumptions!$B$17*B10*Assumptions!$B$39</f>
        <v>0</v>
      </c>
      <c r="C23" s="12">
        <f>$B$4*Assumptions!$B$17*C10*Assumptions!$B$39</f>
        <v>0</v>
      </c>
      <c r="D23" s="12">
        <f>$B$4*Assumptions!$B$17*D10*Assumptions!$B$39</f>
        <v>0</v>
      </c>
      <c r="E23" s="3"/>
      <c r="F23" s="3"/>
      <c r="G23" s="3"/>
      <c r="H23" s="3"/>
      <c r="I23" s="3"/>
    </row>
    <row r="24" ht="15.75" customHeight="1">
      <c r="A24" s="3" t="s">
        <v>477</v>
      </c>
      <c r="B24" s="12">
        <f>'Fixed Operating Costs'!$G$20</f>
        <v>49.99</v>
      </c>
      <c r="C24" s="12">
        <f>'Fixed Operating Costs'!$G$20</f>
        <v>49.99</v>
      </c>
      <c r="D24" s="12">
        <f>'Fixed Operating Costs'!$G$20</f>
        <v>49.99</v>
      </c>
      <c r="E24" s="3"/>
      <c r="F24" s="3"/>
      <c r="G24" s="3"/>
      <c r="H24" s="3"/>
      <c r="I24" s="3"/>
    </row>
    <row r="25" ht="15.75" customHeight="1">
      <c r="A25" s="3" t="s">
        <v>222</v>
      </c>
      <c r="B25" s="12">
        <f t="shared" ref="B25:D25" si="1">B11-SUM(B14:B17,B19:B22,B24)</f>
        <v>838.86</v>
      </c>
      <c r="C25" s="12">
        <f t="shared" si="1"/>
        <v>1119.835</v>
      </c>
      <c r="D25" s="12">
        <f t="shared" si="1"/>
        <v>1266.96</v>
      </c>
      <c r="E25" s="3"/>
      <c r="F25" s="3"/>
      <c r="G25" s="3"/>
      <c r="H25" s="3"/>
      <c r="I25" s="3"/>
    </row>
    <row r="26" ht="15.75" customHeight="1">
      <c r="A26" s="3" t="s">
        <v>223</v>
      </c>
      <c r="B26" s="12">
        <f t="shared" ref="B26:D26" si="2">B25-B23</f>
        <v>838.86</v>
      </c>
      <c r="C26" s="12">
        <f t="shared" si="2"/>
        <v>1119.835</v>
      </c>
      <c r="D26" s="12">
        <f t="shared" si="2"/>
        <v>1266.96</v>
      </c>
      <c r="E26" s="3"/>
      <c r="F26" s="3"/>
      <c r="G26" s="3"/>
      <c r="H26" s="3"/>
      <c r="I26" s="3"/>
    </row>
    <row r="27" ht="15.75" customHeight="1">
      <c r="A27" s="3" t="s">
        <v>83</v>
      </c>
      <c r="B27" s="37">
        <f t="shared" ref="B27:D27" si="3">B25/B11</f>
        <v>0.5629932886</v>
      </c>
      <c r="C27" s="37">
        <f t="shared" si="3"/>
        <v>0.7515671141</v>
      </c>
      <c r="D27" s="37">
        <f t="shared" si="3"/>
        <v>0.8503087248</v>
      </c>
      <c r="E27" s="3"/>
      <c r="F27" s="3"/>
      <c r="G27" s="3"/>
      <c r="H27" s="3"/>
      <c r="I27" s="3"/>
    </row>
    <row r="28" ht="15.75" customHeight="1">
      <c r="A28" s="3" t="s">
        <v>735</v>
      </c>
      <c r="B28" s="42">
        <f>($B$4*Assumptions!$B$16*B9)/Assumptions!$B$40</f>
        <v>0.1666666667</v>
      </c>
      <c r="C28" s="42">
        <f>($B$4*Assumptions!$B$16*C9)/Assumptions!$B$40</f>
        <v>0.08333333333</v>
      </c>
      <c r="D28" s="42">
        <f>($B$4*Assumptions!$B$16*D9)/Assumptions!$B$40</f>
        <v>0.04166666667</v>
      </c>
      <c r="E28" s="3"/>
      <c r="F28" s="3"/>
      <c r="G28" s="3"/>
      <c r="H28" s="3"/>
      <c r="I28" s="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2:H2"/>
    <mergeCell ref="A6:D6"/>
    <mergeCell ref="F6:H6"/>
  </mergeCells>
  <conditionalFormatting sqref="B25:D25">
    <cfRule type="colorScale" priority="1">
      <colorScale>
        <cfvo type="min"/>
        <cfvo type="percentile" val="50"/>
        <cfvo type="max"/>
        <color rgb="FFFEE2E2"/>
        <color rgb="FFFFF2CC"/>
        <color rgb="FFDCFCE7"/>
      </colorScale>
    </cfRule>
  </conditionalFormatting>
  <conditionalFormatting sqref="G8:I12">
    <cfRule type="colorScale" priority="2">
      <colorScale>
        <cfvo type="min"/>
        <cfvo type="percentile" val="50"/>
        <cfvo type="max"/>
        <color rgb="FFFEE2E2"/>
        <color rgb="FFFFF2CC"/>
        <color rgb="FFDCFCE7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7.0"/>
    <col customWidth="1" min="2" max="2" width="18.0"/>
    <col customWidth="1" min="3" max="3" width="22.0"/>
    <col customWidth="1" min="4" max="4" width="13.0"/>
    <col customWidth="1" min="5" max="5" width="18.0"/>
    <col customWidth="1" min="6" max="6" width="19.0"/>
    <col customWidth="1" min="7" max="7" width="56.0"/>
    <col customWidth="1" min="8" max="8" width="20.0"/>
    <col customWidth="1" min="9" max="9" width="18.0"/>
    <col customWidth="1" min="10" max="10" width="48.0"/>
    <col customWidth="1" min="11" max="26" width="8.63"/>
  </cols>
  <sheetData>
    <row r="1" ht="30.0" customHeight="1">
      <c r="A1" s="1" t="s">
        <v>571</v>
      </c>
    </row>
    <row r="2" ht="33.75" customHeight="1">
      <c r="A2" s="2" t="s">
        <v>572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</row>
    <row r="4">
      <c r="A4" s="4" t="s">
        <v>573</v>
      </c>
    </row>
    <row r="5">
      <c r="A5" s="5" t="s">
        <v>574</v>
      </c>
      <c r="B5" s="5" t="s">
        <v>169</v>
      </c>
      <c r="C5" s="5" t="s">
        <v>42</v>
      </c>
      <c r="D5" s="5" t="s">
        <v>575</v>
      </c>
      <c r="E5" s="5" t="s">
        <v>576</v>
      </c>
      <c r="F5" s="5" t="s">
        <v>171</v>
      </c>
      <c r="G5" s="5" t="s">
        <v>577</v>
      </c>
      <c r="H5" s="5" t="s">
        <v>43</v>
      </c>
      <c r="I5" s="5" t="s">
        <v>542</v>
      </c>
      <c r="J5" s="5" t="s">
        <v>578</v>
      </c>
    </row>
    <row r="6">
      <c r="A6" s="3" t="s">
        <v>579</v>
      </c>
      <c r="B6" s="51">
        <v>0.0085</v>
      </c>
      <c r="C6" s="3" t="s">
        <v>580</v>
      </c>
      <c r="D6" s="52" t="s">
        <v>581</v>
      </c>
      <c r="E6" s="3" t="s">
        <v>582</v>
      </c>
      <c r="F6" s="3" t="s">
        <v>583</v>
      </c>
      <c r="G6" s="3" t="s">
        <v>584</v>
      </c>
      <c r="H6" s="3" t="s">
        <v>33</v>
      </c>
      <c r="I6" s="3" t="s">
        <v>242</v>
      </c>
      <c r="J6" s="3" t="s">
        <v>585</v>
      </c>
    </row>
    <row r="7">
      <c r="A7" s="3" t="s">
        <v>586</v>
      </c>
      <c r="B7" s="51">
        <v>1.15</v>
      </c>
      <c r="C7" s="3" t="s">
        <v>587</v>
      </c>
      <c r="D7" s="52" t="s">
        <v>581</v>
      </c>
      <c r="E7" s="3" t="s">
        <v>582</v>
      </c>
      <c r="F7" s="3" t="s">
        <v>583</v>
      </c>
      <c r="G7" s="3" t="s">
        <v>584</v>
      </c>
      <c r="H7" s="3" t="s">
        <v>33</v>
      </c>
      <c r="I7" s="3" t="s">
        <v>242</v>
      </c>
      <c r="J7" s="3" t="s">
        <v>246</v>
      </c>
    </row>
    <row r="8">
      <c r="A8" s="3" t="s">
        <v>588</v>
      </c>
      <c r="B8" s="51">
        <v>0.0025</v>
      </c>
      <c r="C8" s="3" t="s">
        <v>580</v>
      </c>
      <c r="D8" s="52" t="s">
        <v>581</v>
      </c>
      <c r="E8" s="3" t="s">
        <v>582</v>
      </c>
      <c r="F8" s="3" t="s">
        <v>583</v>
      </c>
      <c r="G8" s="3" t="s">
        <v>584</v>
      </c>
      <c r="H8" s="3" t="s">
        <v>248</v>
      </c>
      <c r="I8" s="3" t="s">
        <v>76</v>
      </c>
      <c r="J8" s="3" t="s">
        <v>589</v>
      </c>
    </row>
    <row r="9">
      <c r="A9" s="3" t="s">
        <v>252</v>
      </c>
      <c r="B9" s="51">
        <v>0.0044</v>
      </c>
      <c r="C9" s="3" t="s">
        <v>580</v>
      </c>
      <c r="D9" s="52" t="s">
        <v>581</v>
      </c>
      <c r="E9" s="3" t="s">
        <v>582</v>
      </c>
      <c r="F9" s="3" t="s">
        <v>583</v>
      </c>
      <c r="G9" s="3" t="s">
        <v>584</v>
      </c>
      <c r="H9" s="3" t="s">
        <v>590</v>
      </c>
      <c r="I9" s="3" t="s">
        <v>76</v>
      </c>
      <c r="J9" s="3" t="s">
        <v>591</v>
      </c>
    </row>
    <row r="10">
      <c r="A10" s="3" t="s">
        <v>592</v>
      </c>
      <c r="B10" s="12">
        <v>6.0</v>
      </c>
      <c r="C10" s="3" t="s">
        <v>594</v>
      </c>
      <c r="D10" s="52" t="s">
        <v>581</v>
      </c>
      <c r="E10" s="3" t="s">
        <v>582</v>
      </c>
      <c r="F10" s="3" t="s">
        <v>65</v>
      </c>
      <c r="G10" s="3" t="s">
        <v>595</v>
      </c>
      <c r="H10" s="3" t="s">
        <v>33</v>
      </c>
      <c r="I10" s="3" t="s">
        <v>242</v>
      </c>
      <c r="J10" s="3" t="s">
        <v>596</v>
      </c>
    </row>
    <row r="11">
      <c r="A11" s="3" t="s">
        <v>597</v>
      </c>
      <c r="B11" s="12">
        <v>22.0</v>
      </c>
      <c r="C11" s="3" t="s">
        <v>598</v>
      </c>
      <c r="D11" s="52" t="s">
        <v>581</v>
      </c>
      <c r="E11" s="3" t="s">
        <v>582</v>
      </c>
      <c r="F11" s="3" t="s">
        <v>65</v>
      </c>
      <c r="G11" s="3" t="s">
        <v>595</v>
      </c>
      <c r="H11" s="3" t="s">
        <v>33</v>
      </c>
      <c r="I11" s="3" t="s">
        <v>242</v>
      </c>
      <c r="J11" s="3" t="s">
        <v>596</v>
      </c>
    </row>
    <row r="12">
      <c r="A12" s="3" t="s">
        <v>601</v>
      </c>
      <c r="B12" s="12">
        <v>99.0</v>
      </c>
      <c r="C12" s="3" t="s">
        <v>602</v>
      </c>
      <c r="D12" s="52" t="s">
        <v>581</v>
      </c>
      <c r="E12" s="3" t="s">
        <v>582</v>
      </c>
      <c r="F12" s="3" t="s">
        <v>65</v>
      </c>
      <c r="G12" s="3" t="s">
        <v>595</v>
      </c>
      <c r="H12" s="3" t="s">
        <v>33</v>
      </c>
      <c r="I12" s="3" t="s">
        <v>242</v>
      </c>
      <c r="J12" s="3" t="s">
        <v>596</v>
      </c>
    </row>
    <row r="13">
      <c r="A13" s="3" t="s">
        <v>258</v>
      </c>
      <c r="B13" s="12">
        <v>1.0</v>
      </c>
      <c r="C13" s="3" t="s">
        <v>603</v>
      </c>
      <c r="D13" s="52" t="s">
        <v>581</v>
      </c>
      <c r="E13" s="3" t="s">
        <v>582</v>
      </c>
      <c r="F13" s="3" t="s">
        <v>604</v>
      </c>
      <c r="G13" s="3" t="s">
        <v>605</v>
      </c>
      <c r="H13" s="3" t="s">
        <v>33</v>
      </c>
      <c r="I13" s="3" t="s">
        <v>242</v>
      </c>
      <c r="J13" s="3" t="s">
        <v>606</v>
      </c>
    </row>
    <row r="14">
      <c r="A14" s="3" t="s">
        <v>292</v>
      </c>
      <c r="B14" s="12">
        <v>19.99</v>
      </c>
      <c r="C14" s="3" t="s">
        <v>607</v>
      </c>
      <c r="D14" s="52" t="s">
        <v>581</v>
      </c>
      <c r="E14" s="3" t="s">
        <v>582</v>
      </c>
      <c r="F14" s="3" t="s">
        <v>22</v>
      </c>
      <c r="G14" s="3" t="s">
        <v>608</v>
      </c>
      <c r="H14" s="3" t="s">
        <v>33</v>
      </c>
      <c r="I14" s="3" t="s">
        <v>242</v>
      </c>
      <c r="J14" s="3" t="s">
        <v>609</v>
      </c>
    </row>
    <row r="15">
      <c r="A15" s="3" t="s">
        <v>610</v>
      </c>
      <c r="B15" s="51">
        <v>0.0334</v>
      </c>
      <c r="C15" s="3" t="s">
        <v>611</v>
      </c>
      <c r="D15" s="52" t="s">
        <v>581</v>
      </c>
      <c r="E15" s="3" t="s">
        <v>612</v>
      </c>
      <c r="F15" s="3" t="s">
        <v>613</v>
      </c>
      <c r="G15" s="3" t="s">
        <v>614</v>
      </c>
      <c r="H15" s="3" t="s">
        <v>303</v>
      </c>
      <c r="I15" s="3" t="s">
        <v>230</v>
      </c>
      <c r="J15" s="3" t="s">
        <v>615</v>
      </c>
    </row>
    <row r="16">
      <c r="A16" s="3" t="s">
        <v>616</v>
      </c>
      <c r="B16" s="12">
        <v>25.0</v>
      </c>
      <c r="C16" s="3" t="s">
        <v>587</v>
      </c>
      <c r="D16" s="52" t="s">
        <v>581</v>
      </c>
      <c r="E16" s="3" t="s">
        <v>582</v>
      </c>
      <c r="F16" s="3" t="s">
        <v>37</v>
      </c>
      <c r="G16" s="3" t="s">
        <v>617</v>
      </c>
      <c r="H16" s="3" t="s">
        <v>33</v>
      </c>
      <c r="I16" s="3" t="s">
        <v>242</v>
      </c>
      <c r="J16" s="3" t="s">
        <v>618</v>
      </c>
    </row>
    <row r="17">
      <c r="A17" s="3" t="s">
        <v>619</v>
      </c>
      <c r="B17" s="12">
        <v>5.0</v>
      </c>
      <c r="C17" s="3" t="s">
        <v>620</v>
      </c>
      <c r="D17" s="52" t="s">
        <v>581</v>
      </c>
      <c r="E17" s="3" t="s">
        <v>582</v>
      </c>
      <c r="F17" s="3" t="s">
        <v>52</v>
      </c>
      <c r="G17" s="3" t="s">
        <v>621</v>
      </c>
      <c r="H17" s="3" t="s">
        <v>33</v>
      </c>
      <c r="I17" s="3" t="s">
        <v>242</v>
      </c>
      <c r="J17" s="3" t="s">
        <v>622</v>
      </c>
    </row>
    <row r="18">
      <c r="A18" s="3" t="s">
        <v>112</v>
      </c>
      <c r="B18" s="12" t="s">
        <v>114</v>
      </c>
      <c r="C18" s="3" t="s">
        <v>623</v>
      </c>
      <c r="D18" s="52" t="s">
        <v>581</v>
      </c>
      <c r="E18" s="3" t="s">
        <v>582</v>
      </c>
      <c r="F18" s="3" t="s">
        <v>112</v>
      </c>
      <c r="G18" s="3" t="s">
        <v>624</v>
      </c>
      <c r="H18" s="3" t="s">
        <v>625</v>
      </c>
      <c r="I18" s="3" t="s">
        <v>76</v>
      </c>
      <c r="J18" s="3" t="s">
        <v>626</v>
      </c>
    </row>
    <row r="19">
      <c r="A19" s="3" t="s">
        <v>627</v>
      </c>
      <c r="B19" s="12">
        <v>25.0</v>
      </c>
      <c r="C19" s="3" t="s">
        <v>628</v>
      </c>
      <c r="D19" s="52" t="s">
        <v>581</v>
      </c>
      <c r="E19" s="3" t="s">
        <v>629</v>
      </c>
      <c r="F19" s="3" t="s">
        <v>176</v>
      </c>
      <c r="G19" s="3" t="s">
        <v>630</v>
      </c>
      <c r="H19" s="3" t="s">
        <v>631</v>
      </c>
      <c r="I19" s="3" t="s">
        <v>177</v>
      </c>
      <c r="J19" s="3" t="s">
        <v>632</v>
      </c>
    </row>
    <row r="20">
      <c r="A20" s="3" t="s">
        <v>633</v>
      </c>
      <c r="B20" s="12">
        <v>80.59416667</v>
      </c>
      <c r="C20" s="3" t="s">
        <v>634</v>
      </c>
      <c r="D20" s="52" t="s">
        <v>581</v>
      </c>
      <c r="E20" s="3" t="s">
        <v>635</v>
      </c>
      <c r="F20" s="3" t="s">
        <v>636</v>
      </c>
      <c r="G20" s="3" t="s">
        <v>637</v>
      </c>
      <c r="H20" s="3" t="s">
        <v>638</v>
      </c>
      <c r="I20" s="3" t="s">
        <v>242</v>
      </c>
      <c r="J20" s="3" t="s">
        <v>639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J2"/>
    <mergeCell ref="A4:J4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4.0"/>
    <col customWidth="1" min="2" max="3" width="18.0"/>
    <col customWidth="1" min="4" max="4" width="16.0"/>
    <col customWidth="1" min="5" max="5" width="14.0"/>
    <col customWidth="1" min="6" max="6" width="20.0"/>
    <col customWidth="1" min="7" max="7" width="34.0"/>
    <col customWidth="1" min="8" max="26" width="8.63"/>
  </cols>
  <sheetData>
    <row r="1" ht="30.0" customHeight="1">
      <c r="A1" s="1" t="s">
        <v>640</v>
      </c>
    </row>
    <row r="2" ht="33.75" customHeight="1">
      <c r="A2" s="2" t="s">
        <v>641</v>
      </c>
    </row>
    <row r="3">
      <c r="A3" s="20" t="s">
        <v>160</v>
      </c>
      <c r="B3" s="20" t="str">
        <f>IF(COUNTIF(F7:F24,"FAIL")&gt;0,"FAIL",IF(COUNTIF(F7:F24,"NEEDS INPUT")+COUNTIF(F7:F24,"VERIFY")&gt;0,"READY — INPUTS NEEDED","PASS"))</f>
        <v>READY — INPUTS NEEDED</v>
      </c>
      <c r="C3" s="3"/>
      <c r="D3" s="3"/>
      <c r="E3" s="3"/>
      <c r="F3" s="3"/>
      <c r="G3" s="3"/>
    </row>
    <row r="4">
      <c r="A4" s="3"/>
      <c r="B4" s="3"/>
      <c r="C4" s="3"/>
      <c r="D4" s="3"/>
      <c r="E4" s="3"/>
      <c r="F4" s="3"/>
      <c r="G4" s="3"/>
    </row>
    <row r="5">
      <c r="A5" s="4" t="s">
        <v>642</v>
      </c>
    </row>
    <row r="6">
      <c r="A6" s="5" t="s">
        <v>643</v>
      </c>
      <c r="B6" s="5" t="s">
        <v>644</v>
      </c>
      <c r="C6" s="5" t="s">
        <v>13</v>
      </c>
      <c r="D6" s="5" t="s">
        <v>645</v>
      </c>
      <c r="E6" s="5" t="s">
        <v>646</v>
      </c>
      <c r="F6" s="5" t="s">
        <v>43</v>
      </c>
      <c r="G6" s="5" t="s">
        <v>647</v>
      </c>
    </row>
    <row r="7">
      <c r="A7" s="3" t="s">
        <v>648</v>
      </c>
      <c r="B7" s="41">
        <f>Assumptions!$B$11</f>
        <v>149</v>
      </c>
      <c r="C7" s="41">
        <v>200.0</v>
      </c>
      <c r="D7" s="41">
        <f t="shared" ref="D7:D12" si="1">B7-C7</f>
        <v>-51</v>
      </c>
      <c r="E7" s="41">
        <v>0.0</v>
      </c>
      <c r="F7" s="3" t="str">
        <f>IF(B7&lt;C7,"OK","FAIL")</f>
        <v>OK</v>
      </c>
      <c r="G7" s="3" t="s">
        <v>649</v>
      </c>
    </row>
    <row r="8">
      <c r="A8" s="3" t="s">
        <v>650</v>
      </c>
      <c r="B8" s="41">
        <f>'Fixed Operating Costs'!$G$20</f>
        <v>49.99</v>
      </c>
      <c r="C8" s="41">
        <f>SUM('Fixed Operating Costs'!G6:G13)</f>
        <v>49.99</v>
      </c>
      <c r="D8" s="41">
        <f t="shared" si="1"/>
        <v>0</v>
      </c>
      <c r="E8" s="41">
        <v>0.01</v>
      </c>
      <c r="F8" s="3" t="str">
        <f t="shared" ref="F8:F9" si="2">IF(ABS(D8)&lt;=E8,"OK","FAIL")</f>
        <v>OK</v>
      </c>
      <c r="G8" s="3" t="s">
        <v>651</v>
      </c>
    </row>
    <row r="9">
      <c r="A9" s="3" t="s">
        <v>652</v>
      </c>
      <c r="B9" s="41">
        <f>'Profitability Forecast'!$P$8</f>
        <v>65.1575</v>
      </c>
      <c r="C9" s="41">
        <f>'Profitability Forecast'!B8-SUM('Profitability Forecast'!E8:H8,'Profitability Forecast'!J8:M8,'Profitability Forecast'!O8)</f>
        <v>65.1575</v>
      </c>
      <c r="D9" s="41">
        <f t="shared" si="1"/>
        <v>0</v>
      </c>
      <c r="E9" s="41">
        <v>0.01</v>
      </c>
      <c r="F9" s="3" t="str">
        <f t="shared" si="2"/>
        <v>OK</v>
      </c>
      <c r="G9" s="3" t="s">
        <v>653</v>
      </c>
    </row>
    <row r="10">
      <c r="A10" s="3" t="s">
        <v>654</v>
      </c>
      <c r="B10" s="41">
        <f>COUNTIF(Assumptions!$A$25:$A$27,Assumptions!$B$5)</f>
        <v>1</v>
      </c>
      <c r="C10" s="41">
        <v>1.0</v>
      </c>
      <c r="D10" s="41">
        <f t="shared" si="1"/>
        <v>0</v>
      </c>
      <c r="E10" s="41">
        <v>0.0</v>
      </c>
      <c r="F10" s="3" t="str">
        <f t="shared" ref="F10:F12" si="3">IF(B10=C10,"OK","FAIL")</f>
        <v>OK</v>
      </c>
      <c r="G10" s="3" t="s">
        <v>655</v>
      </c>
    </row>
    <row r="11">
      <c r="A11" s="3" t="s">
        <v>656</v>
      </c>
      <c r="B11" s="41">
        <f>COUNTIF(Assumptions!$B$11:$D$11,"&gt;0")</f>
        <v>3</v>
      </c>
      <c r="C11" s="41">
        <v>3.0</v>
      </c>
      <c r="D11" s="41">
        <f t="shared" si="1"/>
        <v>0</v>
      </c>
      <c r="E11" s="41">
        <v>0.0</v>
      </c>
      <c r="F11" s="3" t="str">
        <f t="shared" si="3"/>
        <v>OK</v>
      </c>
      <c r="G11" s="3" t="s">
        <v>657</v>
      </c>
    </row>
    <row r="12">
      <c r="A12" s="3" t="s">
        <v>658</v>
      </c>
      <c r="B12" s="41">
        <f>COUNTIF('Onboarding Economics'!$I$6:$I$8,"&gt;=0")</f>
        <v>3</v>
      </c>
      <c r="C12" s="41">
        <v>3.0</v>
      </c>
      <c r="D12" s="41">
        <f t="shared" si="1"/>
        <v>0</v>
      </c>
      <c r="E12" s="41">
        <v>0.0</v>
      </c>
      <c r="F12" s="3" t="str">
        <f t="shared" si="3"/>
        <v>OK</v>
      </c>
      <c r="G12" s="3" t="s">
        <v>659</v>
      </c>
    </row>
    <row r="13">
      <c r="A13" s="3" t="s">
        <v>179</v>
      </c>
      <c r="B13" s="41">
        <f>Assumptions!$B$39</f>
        <v>0</v>
      </c>
      <c r="C13" s="41" t="s">
        <v>660</v>
      </c>
      <c r="D13" s="41"/>
      <c r="E13" s="41">
        <v>0.0</v>
      </c>
      <c r="F13" s="3" t="str">
        <f t="shared" ref="F13:F17" si="4">IF(B13&gt;0,"OK","NEEDS INPUT")</f>
        <v>NEEDS INPUT</v>
      </c>
      <c r="G13" s="3" t="s">
        <v>661</v>
      </c>
    </row>
    <row r="14">
      <c r="A14" s="3" t="s">
        <v>662</v>
      </c>
      <c r="B14" s="41">
        <f>Assumptions!$B$47</f>
        <v>0</v>
      </c>
      <c r="C14" s="41" t="s">
        <v>660</v>
      </c>
      <c r="D14" s="41"/>
      <c r="E14" s="41">
        <v>0.0</v>
      </c>
      <c r="F14" s="3" t="str">
        <f t="shared" si="4"/>
        <v>NEEDS INPUT</v>
      </c>
      <c r="G14" s="3" t="s">
        <v>663</v>
      </c>
    </row>
    <row r="15">
      <c r="A15" s="3" t="s">
        <v>664</v>
      </c>
      <c r="B15" s="41">
        <f>Assumptions!$B$48</f>
        <v>0</v>
      </c>
      <c r="C15" s="41" t="s">
        <v>660</v>
      </c>
      <c r="D15" s="41"/>
      <c r="E15" s="41">
        <v>0.0</v>
      </c>
      <c r="F15" s="3" t="str">
        <f t="shared" si="4"/>
        <v>NEEDS INPUT</v>
      </c>
      <c r="G15" s="3" t="s">
        <v>665</v>
      </c>
    </row>
    <row r="16">
      <c r="A16" s="3" t="s">
        <v>666</v>
      </c>
      <c r="B16" s="41">
        <f>Assumptions!$B$52</f>
        <v>0</v>
      </c>
      <c r="C16" s="41" t="s">
        <v>660</v>
      </c>
      <c r="D16" s="41"/>
      <c r="E16" s="41">
        <v>0.0</v>
      </c>
      <c r="F16" s="3" t="str">
        <f t="shared" si="4"/>
        <v>NEEDS INPUT</v>
      </c>
      <c r="G16" s="3" t="s">
        <v>667</v>
      </c>
    </row>
    <row r="17">
      <c r="A17" s="3" t="s">
        <v>668</v>
      </c>
      <c r="B17" s="41">
        <f>Assumptions!$B$53</f>
        <v>0</v>
      </c>
      <c r="C17" s="41" t="s">
        <v>660</v>
      </c>
      <c r="D17" s="41"/>
      <c r="E17" s="41">
        <v>0.0</v>
      </c>
      <c r="F17" s="3" t="str">
        <f t="shared" si="4"/>
        <v>NEEDS INPUT</v>
      </c>
      <c r="G17" s="3" t="s">
        <v>669</v>
      </c>
    </row>
    <row r="18">
      <c r="A18" s="3" t="s">
        <v>670</v>
      </c>
      <c r="B18" s="41">
        <f>Assumptions!$B$51</f>
        <v>0.0334</v>
      </c>
      <c r="C18" s="41" t="s">
        <v>631</v>
      </c>
      <c r="D18" s="41"/>
      <c r="E18" s="41">
        <v>0.0</v>
      </c>
      <c r="F18" s="3" t="str">
        <f>IF(Assumptions!$D$51="Verified","OK","VERIFY")</f>
        <v>VERIFY</v>
      </c>
      <c r="G18" s="3" t="s">
        <v>671</v>
      </c>
    </row>
    <row r="19">
      <c r="A19" s="3" t="s">
        <v>672</v>
      </c>
      <c r="B19" s="41">
        <f>Assumptions!$B$58</f>
        <v>0</v>
      </c>
      <c r="C19" s="41" t="s">
        <v>673</v>
      </c>
      <c r="D19" s="41"/>
      <c r="E19" s="41">
        <v>0.0</v>
      </c>
      <c r="F19" s="3" t="str">
        <f t="shared" ref="F19:F20" si="5">IF(B19&gt;0,"OK","NEEDS INPUT")</f>
        <v>NEEDS INPUT</v>
      </c>
      <c r="G19" s="3" t="s">
        <v>674</v>
      </c>
    </row>
    <row r="20">
      <c r="A20" s="3" t="s">
        <v>675</v>
      </c>
      <c r="B20" s="41">
        <f>Assumptions!$B$59</f>
        <v>0</v>
      </c>
      <c r="C20" s="41" t="s">
        <v>673</v>
      </c>
      <c r="D20" s="41"/>
      <c r="E20" s="41">
        <v>0.0</v>
      </c>
      <c r="F20" s="3" t="str">
        <f t="shared" si="5"/>
        <v>NEEDS INPUT</v>
      </c>
      <c r="G20" s="3" t="s">
        <v>676</v>
      </c>
    </row>
    <row r="21" ht="15.75" customHeight="1">
      <c r="A21" s="3" t="s">
        <v>374</v>
      </c>
      <c r="B21" s="41">
        <f>Assumptions!$B$61</f>
        <v>0</v>
      </c>
      <c r="C21" s="41" t="s">
        <v>631</v>
      </c>
      <c r="D21" s="41"/>
      <c r="E21" s="41">
        <v>0.0</v>
      </c>
      <c r="F21" s="3" t="str">
        <f>IF(Assumptions!$D$61="Verified","OK","NEEDS INPUT")</f>
        <v>NEEDS INPUT</v>
      </c>
      <c r="G21" s="3" t="s">
        <v>677</v>
      </c>
    </row>
    <row r="22" ht="15.75" customHeight="1">
      <c r="A22" s="3" t="s">
        <v>678</v>
      </c>
      <c r="B22" s="41">
        <f>Assumptions!$B$62</f>
        <v>0</v>
      </c>
      <c r="C22" s="41" t="s">
        <v>660</v>
      </c>
      <c r="D22" s="41"/>
      <c r="E22" s="41">
        <v>0.0</v>
      </c>
      <c r="F22" s="3" t="str">
        <f t="shared" ref="F22:F23" si="6">IF(B22&gt;0,"OK","NEEDS INPUT")</f>
        <v>NEEDS INPUT</v>
      </c>
      <c r="G22" s="3" t="s">
        <v>679</v>
      </c>
    </row>
    <row r="23" ht="15.75" customHeight="1">
      <c r="A23" s="3" t="s">
        <v>680</v>
      </c>
      <c r="B23" s="41">
        <f>Assumptions!$B$63</f>
        <v>0</v>
      </c>
      <c r="C23" s="41" t="s">
        <v>660</v>
      </c>
      <c r="D23" s="41"/>
      <c r="E23" s="41">
        <v>0.0</v>
      </c>
      <c r="F23" s="3" t="str">
        <f t="shared" si="6"/>
        <v>NEEDS INPUT</v>
      </c>
      <c r="G23" s="3" t="s">
        <v>681</v>
      </c>
    </row>
    <row r="24" ht="15.75" customHeight="1">
      <c r="A24" s="3" t="s">
        <v>682</v>
      </c>
      <c r="B24" s="41">
        <v>0.0</v>
      </c>
      <c r="C24" s="41">
        <v>0.0</v>
      </c>
      <c r="D24" s="41">
        <v>0.0</v>
      </c>
      <c r="E24" s="41">
        <v>0.0</v>
      </c>
      <c r="F24" s="3" t="s">
        <v>683</v>
      </c>
      <c r="G24" s="3" t="s">
        <v>186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5:G5"/>
  </mergeCells>
  <conditionalFormatting sqref="F7:F24">
    <cfRule type="containsText" dxfId="0" priority="1" operator="containsText" text="OK">
      <formula>NOT(ISERROR(SEARCH(("OK"),(F7))))</formula>
    </cfRule>
  </conditionalFormatting>
  <conditionalFormatting sqref="F7:F24">
    <cfRule type="containsText" dxfId="1" priority="2" operator="containsText" text="NEEDS INPUT">
      <formula>NOT(ISERROR(SEARCH(("NEEDS INPUT"),(F7))))</formula>
    </cfRule>
  </conditionalFormatting>
  <conditionalFormatting sqref="F7:F24">
    <cfRule type="containsText" dxfId="1" priority="3" operator="containsText" text="VERIFY">
      <formula>NOT(ISERROR(SEARCH(("VERIFY"),(F7))))</formula>
    </cfRule>
  </conditionalFormatting>
  <conditionalFormatting sqref="F7:F24">
    <cfRule type="containsText" dxfId="2" priority="4" operator="containsText" text="FAIL">
      <formula>NOT(ISERROR(SEARCH(("FAIL"),(F7))))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0.0"/>
    <col customWidth="1" min="2" max="4" width="20.0"/>
    <col customWidth="1" min="5" max="5" width="22.0"/>
    <col customWidth="1" min="6" max="7" width="18.0"/>
    <col customWidth="1" min="8" max="8" width="44.0"/>
    <col customWidth="1" min="9" max="12" width="18.0"/>
    <col customWidth="1" min="13" max="13" width="40.0"/>
    <col customWidth="1" min="14" max="26" width="8.63"/>
  </cols>
  <sheetData>
    <row r="1" ht="30.0" customHeight="1">
      <c r="A1" s="1" t="s">
        <v>684</v>
      </c>
    </row>
    <row r="2" ht="33.75" customHeight="1">
      <c r="A2" s="2" t="s">
        <v>685</v>
      </c>
    </row>
    <row r="3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</row>
    <row r="4">
      <c r="A4" s="54" t="s">
        <v>686</v>
      </c>
    </row>
    <row r="5">
      <c r="A5" s="55" t="s">
        <v>9</v>
      </c>
      <c r="B5" s="55" t="s">
        <v>687</v>
      </c>
      <c r="C5" s="55" t="s">
        <v>688</v>
      </c>
      <c r="D5" s="55" t="s">
        <v>689</v>
      </c>
      <c r="E5" s="55" t="s">
        <v>29</v>
      </c>
      <c r="F5" s="55" t="s">
        <v>690</v>
      </c>
      <c r="G5" s="55" t="s">
        <v>691</v>
      </c>
      <c r="H5" s="55" t="s">
        <v>44</v>
      </c>
      <c r="I5" s="55" t="s">
        <v>692</v>
      </c>
      <c r="J5" s="55" t="s">
        <v>693</v>
      </c>
      <c r="K5" s="55" t="s">
        <v>694</v>
      </c>
      <c r="L5" s="53"/>
      <c r="M5" s="53"/>
    </row>
    <row r="6">
      <c r="A6" s="53" t="s">
        <v>94</v>
      </c>
      <c r="B6" s="53" t="s">
        <v>65</v>
      </c>
      <c r="C6" s="53" t="s">
        <v>695</v>
      </c>
      <c r="D6" s="53">
        <v>50.0</v>
      </c>
      <c r="E6" s="53">
        <v>4.166666667</v>
      </c>
      <c r="F6" s="53" t="s">
        <v>109</v>
      </c>
      <c r="G6" s="53" t="s">
        <v>696</v>
      </c>
      <c r="H6" s="53" t="s">
        <v>697</v>
      </c>
      <c r="I6" s="53">
        <v>56.4375</v>
      </c>
      <c r="J6" s="53" t="s">
        <v>698</v>
      </c>
      <c r="K6" s="53" t="s">
        <v>698</v>
      </c>
      <c r="L6" s="53"/>
      <c r="M6" s="53"/>
    </row>
    <row r="7">
      <c r="A7" s="53" t="s">
        <v>21</v>
      </c>
      <c r="B7" s="53" t="s">
        <v>22</v>
      </c>
      <c r="C7" s="53" t="s">
        <v>695</v>
      </c>
      <c r="D7" s="53">
        <v>239.88</v>
      </c>
      <c r="E7" s="53">
        <v>19.99</v>
      </c>
      <c r="F7" s="53" t="s">
        <v>109</v>
      </c>
      <c r="G7" s="53" t="s">
        <v>699</v>
      </c>
      <c r="H7" s="53" t="s">
        <v>700</v>
      </c>
      <c r="I7" s="53"/>
      <c r="J7" s="53"/>
      <c r="K7" s="53"/>
      <c r="L7" s="53"/>
      <c r="M7" s="53"/>
    </row>
    <row r="8">
      <c r="A8" s="53" t="s">
        <v>94</v>
      </c>
      <c r="B8" s="53" t="s">
        <v>701</v>
      </c>
      <c r="C8" s="53" t="s">
        <v>702</v>
      </c>
      <c r="D8" s="53">
        <v>4.5</v>
      </c>
      <c r="E8" s="53">
        <v>4.5</v>
      </c>
      <c r="F8" s="53" t="s">
        <v>703</v>
      </c>
      <c r="G8" s="53" t="s">
        <v>704</v>
      </c>
      <c r="H8" s="53" t="s">
        <v>705</v>
      </c>
      <c r="I8" s="53"/>
      <c r="J8" s="53"/>
      <c r="K8" s="53"/>
      <c r="L8" s="53"/>
      <c r="M8" s="53"/>
    </row>
    <row r="9">
      <c r="A9" s="53" t="s">
        <v>94</v>
      </c>
      <c r="B9" s="53" t="s">
        <v>706</v>
      </c>
      <c r="C9" s="53" t="s">
        <v>695</v>
      </c>
      <c r="D9" s="53">
        <v>2.0</v>
      </c>
      <c r="E9" s="53">
        <v>2.0</v>
      </c>
      <c r="F9" s="53" t="s">
        <v>29</v>
      </c>
      <c r="G9" s="53" t="s">
        <v>704</v>
      </c>
      <c r="H9" s="53" t="s">
        <v>707</v>
      </c>
      <c r="I9" s="53"/>
      <c r="J9" s="53"/>
      <c r="K9" s="53"/>
      <c r="L9" s="53"/>
      <c r="M9" s="53"/>
    </row>
    <row r="10">
      <c r="A10" s="53" t="s">
        <v>94</v>
      </c>
      <c r="B10" s="53" t="s">
        <v>63</v>
      </c>
      <c r="C10" s="53" t="s">
        <v>708</v>
      </c>
      <c r="D10" s="53">
        <v>24.4375</v>
      </c>
      <c r="E10" s="53">
        <v>24.4375</v>
      </c>
      <c r="F10" s="53" t="s">
        <v>29</v>
      </c>
      <c r="G10" s="53" t="s">
        <v>704</v>
      </c>
      <c r="H10" s="53" t="s">
        <v>709</v>
      </c>
      <c r="I10" s="53"/>
      <c r="J10" s="53"/>
      <c r="K10" s="53"/>
      <c r="L10" s="53"/>
      <c r="M10" s="53"/>
    </row>
    <row r="11">
      <c r="A11" s="53" t="s">
        <v>36</v>
      </c>
      <c r="B11" s="53" t="s">
        <v>37</v>
      </c>
      <c r="C11" s="53" t="s">
        <v>695</v>
      </c>
      <c r="D11" s="53">
        <v>25.0</v>
      </c>
      <c r="E11" s="53">
        <v>25.0</v>
      </c>
      <c r="F11" s="53" t="s">
        <v>29</v>
      </c>
      <c r="G11" s="53"/>
      <c r="H11" s="53" t="s">
        <v>710</v>
      </c>
      <c r="I11" s="53"/>
      <c r="J11" s="53"/>
      <c r="K11" s="53"/>
      <c r="L11" s="53"/>
      <c r="M11" s="53"/>
    </row>
    <row r="12">
      <c r="A12" s="53" t="s">
        <v>50</v>
      </c>
      <c r="B12" s="53" t="s">
        <v>52</v>
      </c>
      <c r="C12" s="53" t="s">
        <v>695</v>
      </c>
      <c r="D12" s="53">
        <v>5.0</v>
      </c>
      <c r="E12" s="53">
        <v>5.0</v>
      </c>
      <c r="F12" s="53" t="s">
        <v>29</v>
      </c>
      <c r="G12" s="53"/>
      <c r="H12" s="53" t="s">
        <v>711</v>
      </c>
      <c r="I12" s="53"/>
      <c r="J12" s="53"/>
      <c r="K12" s="53"/>
      <c r="L12" s="53"/>
      <c r="M12" s="53"/>
    </row>
    <row r="13">
      <c r="A13" s="53" t="s">
        <v>50</v>
      </c>
      <c r="B13" s="53" t="s">
        <v>112</v>
      </c>
      <c r="C13" s="53" t="s">
        <v>708</v>
      </c>
      <c r="D13" s="53"/>
      <c r="E13" s="53"/>
      <c r="F13" s="53" t="s">
        <v>29</v>
      </c>
      <c r="G13" s="53"/>
      <c r="H13" s="53" t="s">
        <v>712</v>
      </c>
      <c r="I13" s="53"/>
      <c r="J13" s="53"/>
      <c r="K13" s="53"/>
      <c r="L13" s="53"/>
      <c r="M13" s="53"/>
    </row>
    <row r="14">
      <c r="A14" s="53" t="s">
        <v>713</v>
      </c>
      <c r="B14" s="53" t="s">
        <v>714</v>
      </c>
      <c r="C14" s="53" t="s">
        <v>708</v>
      </c>
      <c r="D14" s="53"/>
      <c r="E14" s="53"/>
      <c r="F14" s="53" t="s">
        <v>29</v>
      </c>
      <c r="G14" s="53"/>
      <c r="H14" s="53" t="s">
        <v>715</v>
      </c>
      <c r="I14" s="53"/>
      <c r="J14" s="53"/>
      <c r="K14" s="53"/>
      <c r="L14" s="53"/>
      <c r="M14" s="53"/>
    </row>
    <row r="15">
      <c r="A15" s="53" t="s">
        <v>713</v>
      </c>
      <c r="B15" s="53" t="s">
        <v>716</v>
      </c>
      <c r="C15" s="53" t="s">
        <v>708</v>
      </c>
      <c r="D15" s="53"/>
      <c r="E15" s="53"/>
      <c r="F15" s="53" t="s">
        <v>29</v>
      </c>
      <c r="G15" s="53"/>
      <c r="H15" s="53" t="s">
        <v>717</v>
      </c>
      <c r="I15" s="53"/>
      <c r="J15" s="53"/>
      <c r="K15" s="53"/>
      <c r="L15" s="53"/>
      <c r="M15" s="53"/>
    </row>
    <row r="16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</row>
    <row r="17">
      <c r="A17" s="53"/>
      <c r="B17" s="53" t="s">
        <v>718</v>
      </c>
      <c r="C17" s="53"/>
      <c r="D17" s="53">
        <v>346.3175</v>
      </c>
      <c r="E17" s="53">
        <v>80.59416667</v>
      </c>
      <c r="F17" s="53"/>
      <c r="G17" s="53"/>
      <c r="H17" s="53"/>
      <c r="I17" s="53"/>
      <c r="J17" s="53"/>
      <c r="K17" s="53"/>
      <c r="L17" s="53"/>
      <c r="M17" s="53"/>
    </row>
    <row r="18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</row>
    <row r="19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</row>
    <row r="20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</row>
    <row r="21" ht="15.75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</row>
    <row r="22" ht="15.75" customHeight="1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</row>
    <row r="23" ht="15.75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</row>
    <row r="24" ht="15.75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</row>
    <row r="25" ht="15.7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</row>
    <row r="26" ht="15.75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</row>
    <row r="27" ht="15.75" customHeigh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</row>
    <row r="28" ht="15.75" customHeight="1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</row>
    <row r="29" ht="15.75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</row>
    <row r="30" ht="15.75" customHeight="1">
      <c r="A30" s="53" t="s">
        <v>719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</row>
    <row r="31" ht="15.75" customHeight="1">
      <c r="A31" s="53" t="s">
        <v>720</v>
      </c>
      <c r="B31" s="53">
        <v>91.34416666666667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15.75" customHeight="1">
      <c r="A32" s="53" t="s">
        <v>721</v>
      </c>
      <c r="B32" s="53">
        <v>80.59</v>
      </c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</row>
    <row r="33" ht="15.7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</row>
    <row r="34" ht="15.7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15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15.75" customHeight="1">
      <c r="A36" s="54" t="s">
        <v>723</v>
      </c>
    </row>
    <row r="37" ht="15.75" customHeight="1">
      <c r="A37" s="55" t="s">
        <v>574</v>
      </c>
      <c r="B37" s="55" t="s">
        <v>687</v>
      </c>
      <c r="C37" s="55" t="s">
        <v>724</v>
      </c>
      <c r="D37" s="55" t="s">
        <v>689</v>
      </c>
      <c r="E37" s="55" t="s">
        <v>690</v>
      </c>
      <c r="F37" s="55" t="s">
        <v>44</v>
      </c>
      <c r="G37" s="53"/>
      <c r="H37" s="53"/>
      <c r="I37" s="53"/>
      <c r="J37" s="53"/>
      <c r="K37" s="53"/>
      <c r="L37" s="53"/>
      <c r="M37" s="53"/>
    </row>
    <row r="38" ht="15.75" customHeight="1">
      <c r="A38" s="53" t="s">
        <v>725</v>
      </c>
      <c r="B38" s="53"/>
      <c r="C38" s="53" t="s">
        <v>25</v>
      </c>
      <c r="D38" s="53">
        <v>1.0</v>
      </c>
      <c r="E38" s="53" t="s">
        <v>29</v>
      </c>
      <c r="F38" s="53" t="s">
        <v>726</v>
      </c>
      <c r="G38" s="53"/>
      <c r="H38" s="53"/>
      <c r="I38" s="53"/>
      <c r="J38" s="53"/>
      <c r="K38" s="53"/>
      <c r="L38" s="53"/>
      <c r="M38" s="53"/>
    </row>
    <row r="39" ht="15.75" customHeight="1">
      <c r="A39" s="53" t="s">
        <v>727</v>
      </c>
      <c r="B39" s="53"/>
      <c r="C39" s="53" t="s">
        <v>708</v>
      </c>
      <c r="D39" s="53"/>
      <c r="E39" s="53" t="s">
        <v>29</v>
      </c>
      <c r="F39" s="53" t="s">
        <v>728</v>
      </c>
      <c r="G39" s="53"/>
      <c r="H39" s="53"/>
      <c r="I39" s="53"/>
      <c r="J39" s="53"/>
      <c r="K39" s="53"/>
      <c r="L39" s="53"/>
      <c r="M39" s="53"/>
    </row>
    <row r="40" ht="15.75" customHeight="1">
      <c r="A40" s="53" t="s">
        <v>729</v>
      </c>
      <c r="B40" s="53"/>
      <c r="C40" s="53" t="s">
        <v>708</v>
      </c>
      <c r="D40" s="53"/>
      <c r="E40" s="53" t="s">
        <v>29</v>
      </c>
      <c r="F40" s="53" t="s">
        <v>730</v>
      </c>
      <c r="G40" s="53"/>
      <c r="H40" s="53"/>
      <c r="I40" s="53"/>
      <c r="J40" s="53"/>
      <c r="K40" s="53"/>
      <c r="L40" s="53"/>
      <c r="M40" s="53"/>
    </row>
    <row r="41" ht="15.75" customHeight="1">
      <c r="A41" s="53" t="s">
        <v>731</v>
      </c>
      <c r="B41" s="53"/>
      <c r="C41" s="53" t="s">
        <v>708</v>
      </c>
      <c r="D41" s="53"/>
      <c r="E41" s="53" t="s">
        <v>29</v>
      </c>
      <c r="F41" s="53" t="s">
        <v>732</v>
      </c>
      <c r="G41" s="53"/>
      <c r="H41" s="53"/>
      <c r="I41" s="53"/>
      <c r="J41" s="53"/>
      <c r="K41" s="53"/>
      <c r="L41" s="53"/>
      <c r="M41" s="53"/>
    </row>
    <row r="42" ht="15.75" customHeight="1">
      <c r="A42" s="53" t="s">
        <v>733</v>
      </c>
      <c r="B42" s="53"/>
      <c r="C42" s="53" t="s">
        <v>702</v>
      </c>
      <c r="D42" s="53"/>
      <c r="E42" s="53" t="s">
        <v>702</v>
      </c>
      <c r="F42" s="53" t="s">
        <v>734</v>
      </c>
      <c r="G42" s="53"/>
      <c r="H42" s="53"/>
      <c r="I42" s="53"/>
      <c r="J42" s="53"/>
      <c r="K42" s="53"/>
      <c r="L42" s="53"/>
      <c r="M42" s="53"/>
    </row>
    <row r="43" ht="15.75" customHeight="1">
      <c r="A43" s="53" t="s">
        <v>736</v>
      </c>
      <c r="B43" s="53"/>
      <c r="C43" s="53" t="s">
        <v>708</v>
      </c>
      <c r="D43" s="53"/>
      <c r="E43" s="53" t="s">
        <v>29</v>
      </c>
      <c r="F43" s="53" t="s">
        <v>737</v>
      </c>
      <c r="G43" s="53"/>
      <c r="H43" s="53"/>
      <c r="I43" s="53"/>
      <c r="J43" s="53"/>
      <c r="K43" s="53"/>
      <c r="L43" s="53"/>
      <c r="M43" s="53"/>
    </row>
    <row r="44" ht="15.75" customHeight="1">
      <c r="A44" s="53" t="s">
        <v>738</v>
      </c>
      <c r="B44" s="53"/>
      <c r="C44" s="53" t="s">
        <v>708</v>
      </c>
      <c r="D44" s="53"/>
      <c r="E44" s="53" t="s">
        <v>29</v>
      </c>
      <c r="F44" s="53" t="s">
        <v>739</v>
      </c>
      <c r="G44" s="53"/>
      <c r="H44" s="53"/>
      <c r="I44" s="53"/>
      <c r="J44" s="53"/>
      <c r="K44" s="53"/>
      <c r="L44" s="53"/>
      <c r="M44" s="53"/>
    </row>
    <row r="45" ht="15.75" customHeight="1">
      <c r="A45" s="53" t="s">
        <v>740</v>
      </c>
      <c r="B45" s="53"/>
      <c r="C45" s="53" t="s">
        <v>25</v>
      </c>
      <c r="D45" s="53">
        <v>25.0</v>
      </c>
      <c r="E45" s="53" t="s">
        <v>29</v>
      </c>
      <c r="F45" s="53" t="s">
        <v>741</v>
      </c>
      <c r="G45" s="53"/>
      <c r="H45" s="53"/>
      <c r="I45" s="53"/>
      <c r="J45" s="53"/>
      <c r="K45" s="53"/>
      <c r="L45" s="53"/>
      <c r="M45" s="53"/>
    </row>
    <row r="46" ht="15.75" customHeight="1">
      <c r="A46" s="53" t="s">
        <v>742</v>
      </c>
      <c r="B46" s="53"/>
      <c r="C46" s="53" t="s">
        <v>25</v>
      </c>
      <c r="D46" s="53">
        <v>5.0</v>
      </c>
      <c r="E46" s="53" t="s">
        <v>29</v>
      </c>
      <c r="F46" s="53" t="s">
        <v>743</v>
      </c>
      <c r="G46" s="53"/>
      <c r="H46" s="53"/>
      <c r="I46" s="53"/>
      <c r="J46" s="53"/>
      <c r="K46" s="53"/>
      <c r="L46" s="53"/>
      <c r="M46" s="53"/>
    </row>
    <row r="47" ht="15.75" customHeight="1">
      <c r="A47" s="53" t="s">
        <v>744</v>
      </c>
      <c r="B47" s="53"/>
      <c r="C47" s="53"/>
      <c r="D47" s="53"/>
      <c r="E47" s="53" t="s">
        <v>29</v>
      </c>
      <c r="F47" s="53" t="s">
        <v>745</v>
      </c>
      <c r="G47" s="53"/>
      <c r="H47" s="53"/>
      <c r="I47" s="53"/>
      <c r="J47" s="53"/>
      <c r="K47" s="53"/>
      <c r="L47" s="53"/>
      <c r="M47" s="53"/>
    </row>
    <row r="48" ht="15.7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15.7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</row>
    <row r="50" ht="15.7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15.75" customHeight="1">
      <c r="A51" s="54" t="s">
        <v>746</v>
      </c>
    </row>
    <row r="52" ht="15.75" customHeight="1">
      <c r="A52" s="53" t="s">
        <v>747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15.75" customHeight="1">
      <c r="A53" s="53" t="s">
        <v>48</v>
      </c>
      <c r="B53" s="53" t="s">
        <v>748</v>
      </c>
      <c r="C53" s="53" t="s">
        <v>749</v>
      </c>
      <c r="D53" s="53" t="s">
        <v>750</v>
      </c>
      <c r="E53" s="53" t="s">
        <v>751</v>
      </c>
      <c r="F53" s="53" t="s">
        <v>752</v>
      </c>
      <c r="G53" s="53" t="s">
        <v>753</v>
      </c>
      <c r="H53" s="53" t="s">
        <v>754</v>
      </c>
      <c r="I53" s="53" t="s">
        <v>755</v>
      </c>
      <c r="J53" s="53" t="s">
        <v>756</v>
      </c>
      <c r="K53" s="53" t="s">
        <v>757</v>
      </c>
      <c r="L53" s="53" t="s">
        <v>758</v>
      </c>
      <c r="M53" s="53" t="s">
        <v>759</v>
      </c>
    </row>
    <row r="54" ht="15.75" customHeight="1">
      <c r="A54" s="53" t="s">
        <v>38</v>
      </c>
      <c r="B54" s="53">
        <v>149.0</v>
      </c>
      <c r="C54" s="53">
        <v>199.0</v>
      </c>
      <c r="D54" s="53">
        <v>250.0</v>
      </c>
      <c r="E54" s="53" t="s">
        <v>760</v>
      </c>
      <c r="F54" s="53">
        <v>1.0</v>
      </c>
      <c r="G54" s="53">
        <v>1.0</v>
      </c>
      <c r="H54" s="53" t="s">
        <v>210</v>
      </c>
      <c r="I54" s="53" t="s">
        <v>761</v>
      </c>
      <c r="J54" s="53" t="s">
        <v>96</v>
      </c>
      <c r="K54" s="53" t="s">
        <v>210</v>
      </c>
      <c r="L54" s="53" t="s">
        <v>96</v>
      </c>
      <c r="M54" s="53" t="s">
        <v>762</v>
      </c>
    </row>
    <row r="55" ht="15.75" customHeight="1">
      <c r="A55" s="53" t="s">
        <v>40</v>
      </c>
      <c r="B55" s="53">
        <v>299.0</v>
      </c>
      <c r="C55" s="53">
        <v>349.0</v>
      </c>
      <c r="D55" s="53">
        <v>1000.0</v>
      </c>
      <c r="E55" s="53" t="s">
        <v>763</v>
      </c>
      <c r="F55" s="53">
        <v>3.0</v>
      </c>
      <c r="G55" s="53">
        <v>3.0</v>
      </c>
      <c r="H55" s="53" t="s">
        <v>232</v>
      </c>
      <c r="I55" s="53" t="s">
        <v>764</v>
      </c>
      <c r="J55" s="53" t="s">
        <v>31</v>
      </c>
      <c r="K55" s="53" t="s">
        <v>232</v>
      </c>
      <c r="L55" s="53" t="s">
        <v>765</v>
      </c>
      <c r="M55" s="53" t="s">
        <v>766</v>
      </c>
    </row>
    <row r="56" ht="15.75" customHeight="1">
      <c r="A56" s="53" t="s">
        <v>444</v>
      </c>
      <c r="B56" s="53">
        <v>499.0</v>
      </c>
      <c r="C56" s="53">
        <v>599.0</v>
      </c>
      <c r="D56" s="53">
        <v>3000.0</v>
      </c>
      <c r="E56" s="53" t="s">
        <v>767</v>
      </c>
      <c r="F56" s="53">
        <v>10.0</v>
      </c>
      <c r="G56" s="53">
        <v>10.0</v>
      </c>
      <c r="H56" s="53" t="s">
        <v>271</v>
      </c>
      <c r="I56" s="53" t="s">
        <v>768</v>
      </c>
      <c r="J56" s="53" t="s">
        <v>31</v>
      </c>
      <c r="K56" s="53" t="s">
        <v>769</v>
      </c>
      <c r="L56" s="53" t="s">
        <v>31</v>
      </c>
      <c r="M56" s="53" t="s">
        <v>770</v>
      </c>
    </row>
    <row r="57" ht="15.75" customHeight="1">
      <c r="A57" s="53" t="s">
        <v>268</v>
      </c>
      <c r="B57" s="53" t="s">
        <v>271</v>
      </c>
      <c r="C57" s="53" t="s">
        <v>271</v>
      </c>
      <c r="D57" s="53" t="s">
        <v>271</v>
      </c>
      <c r="E57" s="53" t="s">
        <v>771</v>
      </c>
      <c r="F57" s="53" t="s">
        <v>772</v>
      </c>
      <c r="G57" s="53" t="s">
        <v>772</v>
      </c>
      <c r="H57" s="53" t="s">
        <v>271</v>
      </c>
      <c r="I57" s="53" t="s">
        <v>271</v>
      </c>
      <c r="J57" s="53" t="s">
        <v>271</v>
      </c>
      <c r="K57" s="53" t="s">
        <v>271</v>
      </c>
      <c r="L57" s="53" t="s">
        <v>773</v>
      </c>
      <c r="M57" s="53" t="s">
        <v>774</v>
      </c>
    </row>
    <row r="58" ht="15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15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15.75" customHeight="1">
      <c r="A60" s="53" t="s">
        <v>775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15.75" customHeight="1">
      <c r="A61" s="53" t="s">
        <v>48</v>
      </c>
      <c r="B61" s="53" t="s">
        <v>748</v>
      </c>
      <c r="C61" s="53" t="s">
        <v>749</v>
      </c>
      <c r="D61" s="53" t="s">
        <v>776</v>
      </c>
      <c r="E61" s="53" t="s">
        <v>751</v>
      </c>
      <c r="F61" s="53" t="s">
        <v>777</v>
      </c>
      <c r="G61" s="53" t="s">
        <v>778</v>
      </c>
      <c r="H61" s="53" t="s">
        <v>779</v>
      </c>
      <c r="I61" s="53" t="s">
        <v>780</v>
      </c>
      <c r="J61" s="53" t="s">
        <v>781</v>
      </c>
      <c r="K61" s="53" t="s">
        <v>782</v>
      </c>
      <c r="L61" s="53" t="s">
        <v>783</v>
      </c>
      <c r="M61" s="53" t="s">
        <v>759</v>
      </c>
    </row>
    <row r="62" ht="15.75" customHeight="1">
      <c r="A62" s="53" t="s">
        <v>38</v>
      </c>
      <c r="B62" s="53">
        <v>99.0</v>
      </c>
      <c r="C62" s="53">
        <v>149.0</v>
      </c>
      <c r="D62" s="53">
        <v>100.0</v>
      </c>
      <c r="E62" s="53" t="s">
        <v>760</v>
      </c>
      <c r="F62" s="53">
        <v>1.0</v>
      </c>
      <c r="G62" s="53" t="s">
        <v>31</v>
      </c>
      <c r="H62" s="53" t="s">
        <v>96</v>
      </c>
      <c r="I62" s="53" t="s">
        <v>210</v>
      </c>
      <c r="J62" s="53" t="s">
        <v>31</v>
      </c>
      <c r="K62" s="53" t="s">
        <v>31</v>
      </c>
      <c r="L62" s="53" t="s">
        <v>96</v>
      </c>
      <c r="M62" s="53" t="s">
        <v>784</v>
      </c>
    </row>
    <row r="63" ht="15.75" customHeight="1">
      <c r="A63" s="53" t="s">
        <v>40</v>
      </c>
      <c r="B63" s="53">
        <v>199.0</v>
      </c>
      <c r="C63" s="53">
        <v>249.0</v>
      </c>
      <c r="D63" s="53">
        <v>300.0</v>
      </c>
      <c r="E63" s="53" t="s">
        <v>763</v>
      </c>
      <c r="F63" s="53">
        <v>2.0</v>
      </c>
      <c r="G63" s="53" t="s">
        <v>31</v>
      </c>
      <c r="H63" s="53" t="s">
        <v>31</v>
      </c>
      <c r="I63" s="53" t="s">
        <v>232</v>
      </c>
      <c r="J63" s="53" t="s">
        <v>31</v>
      </c>
      <c r="K63" s="53" t="s">
        <v>31</v>
      </c>
      <c r="L63" s="53" t="s">
        <v>31</v>
      </c>
      <c r="M63" s="53" t="s">
        <v>785</v>
      </c>
    </row>
    <row r="64" ht="15.75" customHeight="1">
      <c r="A64" s="53" t="s">
        <v>444</v>
      </c>
      <c r="B64" s="53">
        <v>399.0</v>
      </c>
      <c r="C64" s="53">
        <v>499.0</v>
      </c>
      <c r="D64" s="53">
        <v>1000.0</v>
      </c>
      <c r="E64" s="53" t="s">
        <v>767</v>
      </c>
      <c r="F64" s="53">
        <v>5.0</v>
      </c>
      <c r="G64" s="53" t="s">
        <v>31</v>
      </c>
      <c r="H64" s="53" t="s">
        <v>31</v>
      </c>
      <c r="I64" s="53" t="s">
        <v>786</v>
      </c>
      <c r="J64" s="53" t="s">
        <v>31</v>
      </c>
      <c r="K64" s="53" t="s">
        <v>31</v>
      </c>
      <c r="L64" s="53" t="s">
        <v>31</v>
      </c>
      <c r="M64" s="53" t="s">
        <v>787</v>
      </c>
    </row>
    <row r="65" ht="15.75" customHeight="1">
      <c r="A65" s="53" t="s">
        <v>268</v>
      </c>
      <c r="B65" s="53" t="s">
        <v>271</v>
      </c>
      <c r="C65" s="53" t="s">
        <v>271</v>
      </c>
      <c r="D65" s="53" t="s">
        <v>271</v>
      </c>
      <c r="E65" s="53" t="s">
        <v>771</v>
      </c>
      <c r="F65" s="53" t="s">
        <v>271</v>
      </c>
      <c r="G65" s="53" t="s">
        <v>31</v>
      </c>
      <c r="H65" s="53" t="s">
        <v>31</v>
      </c>
      <c r="I65" s="53" t="s">
        <v>271</v>
      </c>
      <c r="J65" s="53" t="s">
        <v>271</v>
      </c>
      <c r="K65" s="53" t="s">
        <v>271</v>
      </c>
      <c r="L65" s="53" t="s">
        <v>271</v>
      </c>
      <c r="M65" s="53" t="s">
        <v>774</v>
      </c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15.75" customHeight="1">
      <c r="A68" s="53" t="s">
        <v>788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15.75" customHeight="1">
      <c r="A69" s="53" t="s">
        <v>48</v>
      </c>
      <c r="B69" s="53" t="s">
        <v>748</v>
      </c>
      <c r="C69" s="53" t="s">
        <v>789</v>
      </c>
      <c r="D69" s="53" t="s">
        <v>790</v>
      </c>
      <c r="E69" s="53" t="s">
        <v>749</v>
      </c>
      <c r="F69" s="53" t="s">
        <v>791</v>
      </c>
      <c r="G69" s="53" t="s">
        <v>792</v>
      </c>
      <c r="H69" s="53" t="s">
        <v>751</v>
      </c>
      <c r="I69" s="53" t="s">
        <v>793</v>
      </c>
      <c r="J69" s="53"/>
      <c r="K69" s="53"/>
      <c r="L69" s="53"/>
      <c r="M69" s="53"/>
    </row>
    <row r="70" ht="15.75" customHeight="1">
      <c r="A70" s="53" t="s">
        <v>794</v>
      </c>
      <c r="B70" s="53">
        <v>219.0</v>
      </c>
      <c r="C70" s="53">
        <v>248.0</v>
      </c>
      <c r="D70" s="53">
        <v>29.0</v>
      </c>
      <c r="E70" s="53">
        <v>299.0</v>
      </c>
      <c r="F70" s="53">
        <v>250.0</v>
      </c>
      <c r="G70" s="53">
        <v>100.0</v>
      </c>
      <c r="H70" s="53" t="s">
        <v>760</v>
      </c>
      <c r="I70" s="53" t="s">
        <v>795</v>
      </c>
      <c r="J70" s="53"/>
      <c r="K70" s="53"/>
      <c r="L70" s="53"/>
      <c r="M70" s="53"/>
    </row>
    <row r="71" ht="15.75" customHeight="1">
      <c r="A71" s="53" t="s">
        <v>796</v>
      </c>
      <c r="B71" s="53">
        <v>449.0</v>
      </c>
      <c r="C71" s="53">
        <v>498.0</v>
      </c>
      <c r="D71" s="53">
        <v>49.0</v>
      </c>
      <c r="E71" s="53">
        <v>499.0</v>
      </c>
      <c r="F71" s="53">
        <v>1000.0</v>
      </c>
      <c r="G71" s="53">
        <v>300.0</v>
      </c>
      <c r="H71" s="53" t="s">
        <v>763</v>
      </c>
      <c r="I71" s="53" t="s">
        <v>785</v>
      </c>
      <c r="J71" s="53"/>
      <c r="K71" s="53"/>
      <c r="L71" s="53"/>
      <c r="M71" s="53"/>
    </row>
    <row r="72" ht="15.75" customHeight="1">
      <c r="A72" s="53" t="s">
        <v>797</v>
      </c>
      <c r="B72" s="53">
        <v>799.0</v>
      </c>
      <c r="C72" s="53">
        <v>898.0</v>
      </c>
      <c r="D72" s="53">
        <v>99.0</v>
      </c>
      <c r="E72" s="53">
        <v>899.0</v>
      </c>
      <c r="F72" s="53">
        <v>3000.0</v>
      </c>
      <c r="G72" s="53">
        <v>1000.0</v>
      </c>
      <c r="H72" s="53" t="s">
        <v>767</v>
      </c>
      <c r="I72" s="53" t="s">
        <v>798</v>
      </c>
      <c r="J72" s="53"/>
      <c r="K72" s="53"/>
      <c r="L72" s="53"/>
      <c r="M72" s="53"/>
    </row>
    <row r="73" ht="15.75" customHeight="1">
      <c r="A73" s="53" t="s">
        <v>799</v>
      </c>
      <c r="B73" s="53" t="s">
        <v>271</v>
      </c>
      <c r="C73" s="53" t="s">
        <v>271</v>
      </c>
      <c r="D73" s="53" t="s">
        <v>271</v>
      </c>
      <c r="E73" s="53" t="s">
        <v>271</v>
      </c>
      <c r="F73" s="53" t="s">
        <v>271</v>
      </c>
      <c r="G73" s="53" t="s">
        <v>271</v>
      </c>
      <c r="H73" s="53" t="s">
        <v>771</v>
      </c>
      <c r="I73" s="53" t="s">
        <v>800</v>
      </c>
      <c r="J73" s="53"/>
      <c r="K73" s="53"/>
      <c r="L73" s="53"/>
      <c r="M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</row>
    <row r="75" ht="15.75" customHeight="1">
      <c r="A75" s="53" t="s">
        <v>801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</row>
    <row r="76" ht="15.75" customHeight="1">
      <c r="A76" s="53" t="s">
        <v>802</v>
      </c>
      <c r="B76" s="53" t="s">
        <v>55</v>
      </c>
      <c r="C76" s="53" t="s">
        <v>803</v>
      </c>
      <c r="D76" s="53" t="s">
        <v>44</v>
      </c>
      <c r="E76" s="53"/>
      <c r="F76" s="53"/>
      <c r="G76" s="53"/>
      <c r="H76" s="53"/>
      <c r="I76" s="53"/>
      <c r="J76" s="53"/>
      <c r="K76" s="53"/>
      <c r="L76" s="53"/>
      <c r="M76" s="53"/>
    </row>
    <row r="77" ht="15.75" customHeight="1">
      <c r="A77" s="53" t="s">
        <v>804</v>
      </c>
      <c r="B77" s="53">
        <v>15.0</v>
      </c>
      <c r="C77" s="53" t="s">
        <v>805</v>
      </c>
      <c r="D77" s="53" t="s">
        <v>806</v>
      </c>
      <c r="E77" s="53"/>
      <c r="F77" s="53"/>
      <c r="G77" s="53"/>
      <c r="H77" s="53"/>
      <c r="I77" s="53"/>
      <c r="J77" s="53"/>
      <c r="K77" s="53"/>
      <c r="L77" s="53"/>
      <c r="M77" s="53"/>
    </row>
    <row r="78" ht="15.75" customHeight="1">
      <c r="A78" s="53" t="s">
        <v>807</v>
      </c>
      <c r="B78" s="53">
        <v>25.0</v>
      </c>
      <c r="C78" s="53" t="s">
        <v>805</v>
      </c>
      <c r="D78" s="53" t="s">
        <v>808</v>
      </c>
      <c r="E78" s="53"/>
      <c r="F78" s="53"/>
      <c r="G78" s="53"/>
      <c r="H78" s="53"/>
      <c r="I78" s="53"/>
      <c r="J78" s="53"/>
      <c r="K78" s="53"/>
      <c r="L78" s="53"/>
      <c r="M78" s="53"/>
    </row>
    <row r="79" ht="15.75" customHeight="1">
      <c r="A79" s="53" t="s">
        <v>809</v>
      </c>
      <c r="B79" s="53">
        <v>10.0</v>
      </c>
      <c r="C79" s="53" t="s">
        <v>805</v>
      </c>
      <c r="D79" s="53" t="s">
        <v>810</v>
      </c>
      <c r="E79" s="53"/>
      <c r="F79" s="53"/>
      <c r="G79" s="53"/>
      <c r="H79" s="53"/>
      <c r="I79" s="53"/>
      <c r="J79" s="53"/>
      <c r="K79" s="53"/>
      <c r="L79" s="53"/>
      <c r="M79" s="53"/>
    </row>
    <row r="80" ht="15.75" customHeight="1">
      <c r="A80" s="53" t="s">
        <v>811</v>
      </c>
      <c r="B80" s="53">
        <v>40.0</v>
      </c>
      <c r="C80" s="53" t="s">
        <v>805</v>
      </c>
      <c r="D80" s="53" t="s">
        <v>812</v>
      </c>
      <c r="E80" s="53"/>
      <c r="F80" s="53"/>
      <c r="G80" s="53"/>
      <c r="H80" s="53"/>
      <c r="I80" s="53"/>
      <c r="J80" s="53"/>
      <c r="K80" s="53"/>
      <c r="L80" s="53"/>
      <c r="M80" s="53"/>
    </row>
    <row r="81" ht="15.75" customHeight="1">
      <c r="A81" s="53" t="s">
        <v>813</v>
      </c>
      <c r="B81" s="53">
        <v>99.0</v>
      </c>
      <c r="C81" s="53" t="s">
        <v>814</v>
      </c>
      <c r="D81" s="53" t="s">
        <v>815</v>
      </c>
      <c r="E81" s="53"/>
      <c r="F81" s="53"/>
      <c r="G81" s="53"/>
      <c r="H81" s="53"/>
      <c r="I81" s="53"/>
      <c r="J81" s="53"/>
      <c r="K81" s="53"/>
      <c r="L81" s="53"/>
      <c r="M81" s="53"/>
    </row>
    <row r="82" ht="15.75" customHeight="1">
      <c r="A82" s="53" t="s">
        <v>816</v>
      </c>
      <c r="B82" s="53">
        <v>99.0</v>
      </c>
      <c r="C82" s="53" t="s">
        <v>814</v>
      </c>
      <c r="D82" s="53" t="s">
        <v>817</v>
      </c>
      <c r="E82" s="53"/>
      <c r="F82" s="53"/>
      <c r="G82" s="53"/>
      <c r="H82" s="53"/>
      <c r="I82" s="53"/>
      <c r="J82" s="53"/>
      <c r="K82" s="53"/>
      <c r="L82" s="53"/>
      <c r="M82" s="53"/>
    </row>
    <row r="83" ht="15.75" customHeight="1">
      <c r="A83" s="53" t="s">
        <v>818</v>
      </c>
      <c r="B83" s="53">
        <v>149.0</v>
      </c>
      <c r="C83" s="53" t="s">
        <v>814</v>
      </c>
      <c r="D83" s="53" t="s">
        <v>819</v>
      </c>
      <c r="E83" s="53"/>
      <c r="F83" s="53"/>
      <c r="G83" s="53"/>
      <c r="H83" s="53"/>
      <c r="I83" s="53"/>
      <c r="J83" s="53"/>
      <c r="K83" s="53"/>
      <c r="L83" s="53"/>
      <c r="M83" s="53"/>
    </row>
    <row r="84" ht="15.75" customHeight="1">
      <c r="A84" s="53" t="s">
        <v>820</v>
      </c>
      <c r="B84" s="53">
        <v>49.0</v>
      </c>
      <c r="C84" s="53" t="s">
        <v>814</v>
      </c>
      <c r="D84" s="53" t="s">
        <v>821</v>
      </c>
      <c r="E84" s="53"/>
      <c r="F84" s="53"/>
      <c r="G84" s="53"/>
      <c r="H84" s="53"/>
      <c r="I84" s="53"/>
      <c r="J84" s="53"/>
      <c r="K84" s="53"/>
      <c r="L84" s="53"/>
      <c r="M84" s="53"/>
    </row>
    <row r="85" ht="15.75" customHeight="1">
      <c r="A85" s="53" t="s">
        <v>758</v>
      </c>
      <c r="B85" s="53">
        <v>49.0</v>
      </c>
      <c r="C85" s="53" t="s">
        <v>805</v>
      </c>
      <c r="D85" s="53" t="s">
        <v>822</v>
      </c>
      <c r="E85" s="53"/>
      <c r="F85" s="53"/>
      <c r="G85" s="53"/>
      <c r="H85" s="53"/>
      <c r="I85" s="53"/>
      <c r="J85" s="53"/>
      <c r="K85" s="53"/>
      <c r="L85" s="53"/>
      <c r="M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15.75" customHeight="1">
      <c r="A88" s="53" t="s">
        <v>823</v>
      </c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15.75" customHeight="1">
      <c r="A89" s="53" t="s">
        <v>802</v>
      </c>
      <c r="B89" s="53" t="s">
        <v>55</v>
      </c>
      <c r="C89" s="53" t="s">
        <v>803</v>
      </c>
      <c r="D89" s="53" t="s">
        <v>44</v>
      </c>
      <c r="E89" s="53"/>
      <c r="F89" s="53"/>
      <c r="G89" s="53"/>
      <c r="H89" s="53"/>
      <c r="I89" s="53"/>
      <c r="J89" s="53"/>
      <c r="K89" s="53"/>
      <c r="L89" s="53"/>
      <c r="M89" s="53"/>
    </row>
    <row r="90" ht="15.75" customHeight="1">
      <c r="A90" s="53" t="s">
        <v>824</v>
      </c>
      <c r="B90" s="53">
        <v>15.0</v>
      </c>
      <c r="C90" s="53" t="s">
        <v>805</v>
      </c>
      <c r="D90" s="53" t="s">
        <v>825</v>
      </c>
      <c r="E90" s="53"/>
      <c r="F90" s="53"/>
      <c r="G90" s="53"/>
      <c r="H90" s="53"/>
      <c r="I90" s="53"/>
      <c r="J90" s="53"/>
      <c r="K90" s="53"/>
      <c r="L90" s="53"/>
      <c r="M90" s="53"/>
    </row>
    <row r="91" ht="15.75" customHeight="1">
      <c r="A91" s="53" t="s">
        <v>826</v>
      </c>
      <c r="B91" s="53">
        <v>20.0</v>
      </c>
      <c r="C91" s="53" t="s">
        <v>805</v>
      </c>
      <c r="D91" s="53" t="s">
        <v>827</v>
      </c>
      <c r="E91" s="53"/>
      <c r="F91" s="53"/>
      <c r="G91" s="53"/>
      <c r="H91" s="53"/>
      <c r="I91" s="53"/>
      <c r="J91" s="53"/>
      <c r="K91" s="53"/>
      <c r="L91" s="53"/>
      <c r="M91" s="53"/>
    </row>
    <row r="92" ht="15.75" customHeight="1">
      <c r="A92" s="53" t="s">
        <v>828</v>
      </c>
      <c r="B92" s="53">
        <v>80.0</v>
      </c>
      <c r="C92" s="53" t="s">
        <v>805</v>
      </c>
      <c r="D92" s="53" t="s">
        <v>812</v>
      </c>
      <c r="E92" s="53"/>
      <c r="F92" s="53"/>
      <c r="G92" s="53"/>
      <c r="H92" s="53"/>
      <c r="I92" s="53"/>
      <c r="J92" s="53"/>
      <c r="K92" s="53"/>
      <c r="L92" s="53"/>
      <c r="M92" s="53"/>
    </row>
    <row r="93" ht="15.75" customHeight="1">
      <c r="A93" s="53" t="s">
        <v>829</v>
      </c>
      <c r="B93" s="53">
        <v>25.0</v>
      </c>
      <c r="C93" s="53" t="s">
        <v>805</v>
      </c>
      <c r="D93" s="53" t="s">
        <v>830</v>
      </c>
      <c r="E93" s="53"/>
      <c r="F93" s="53"/>
      <c r="G93" s="53"/>
      <c r="H93" s="53"/>
      <c r="I93" s="53"/>
      <c r="J93" s="53"/>
      <c r="K93" s="53"/>
      <c r="L93" s="53"/>
      <c r="M93" s="53"/>
    </row>
    <row r="94" ht="15.75" customHeight="1">
      <c r="A94" s="53" t="s">
        <v>831</v>
      </c>
      <c r="B94" s="53">
        <v>149.0</v>
      </c>
      <c r="C94" s="53" t="s">
        <v>814</v>
      </c>
      <c r="D94" s="53" t="s">
        <v>832</v>
      </c>
      <c r="E94" s="53"/>
      <c r="F94" s="53"/>
      <c r="G94" s="53"/>
      <c r="H94" s="53"/>
      <c r="I94" s="53"/>
      <c r="J94" s="53"/>
      <c r="K94" s="53"/>
      <c r="L94" s="53"/>
      <c r="M94" s="53"/>
    </row>
    <row r="95" ht="15.75" customHeight="1">
      <c r="A95" s="53" t="s">
        <v>833</v>
      </c>
      <c r="B95" s="53">
        <v>99.0</v>
      </c>
      <c r="C95" s="53" t="s">
        <v>814</v>
      </c>
      <c r="D95" s="53" t="s">
        <v>834</v>
      </c>
      <c r="E95" s="53"/>
      <c r="F95" s="53"/>
      <c r="G95" s="53"/>
      <c r="H95" s="53"/>
      <c r="I95" s="53"/>
      <c r="J95" s="53"/>
      <c r="K95" s="53"/>
      <c r="L95" s="53"/>
      <c r="M95" s="53"/>
    </row>
    <row r="96" ht="15.75" customHeight="1">
      <c r="A96" s="53" t="s">
        <v>835</v>
      </c>
      <c r="B96" s="53">
        <v>49.0</v>
      </c>
      <c r="C96" s="53" t="s">
        <v>805</v>
      </c>
      <c r="D96" s="53" t="s">
        <v>836</v>
      </c>
      <c r="E96" s="53"/>
      <c r="F96" s="53"/>
      <c r="G96" s="53"/>
      <c r="H96" s="53"/>
      <c r="I96" s="53"/>
      <c r="J96" s="53"/>
      <c r="K96" s="53"/>
      <c r="L96" s="53"/>
      <c r="M96" s="53"/>
    </row>
    <row r="97" ht="15.75" customHeight="1">
      <c r="A97" s="53" t="s">
        <v>837</v>
      </c>
      <c r="B97" s="53">
        <v>15.0</v>
      </c>
      <c r="C97" s="53" t="s">
        <v>805</v>
      </c>
      <c r="D97" s="53" t="s">
        <v>838</v>
      </c>
      <c r="E97" s="53"/>
      <c r="F97" s="53"/>
      <c r="G97" s="53"/>
      <c r="H97" s="53"/>
      <c r="I97" s="53"/>
      <c r="J97" s="53"/>
      <c r="K97" s="53"/>
      <c r="L97" s="53"/>
      <c r="M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</row>
    <row r="100" ht="15.75" customHeight="1">
      <c r="A100" s="53" t="s">
        <v>839</v>
      </c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</row>
    <row r="101" ht="15.75" customHeight="1">
      <c r="A101" s="53" t="s">
        <v>802</v>
      </c>
      <c r="B101" s="53" t="s">
        <v>55</v>
      </c>
      <c r="C101" s="53" t="s">
        <v>803</v>
      </c>
      <c r="D101" s="53" t="s">
        <v>44</v>
      </c>
      <c r="E101" s="53"/>
      <c r="F101" s="53"/>
      <c r="G101" s="53"/>
      <c r="H101" s="53"/>
      <c r="I101" s="53"/>
      <c r="J101" s="53"/>
      <c r="K101" s="53"/>
      <c r="L101" s="53"/>
      <c r="M101" s="53"/>
    </row>
    <row r="102" ht="15.75" customHeight="1">
      <c r="A102" s="53" t="s">
        <v>840</v>
      </c>
      <c r="B102" s="53">
        <v>20.0</v>
      </c>
      <c r="C102" s="53" t="s">
        <v>805</v>
      </c>
      <c r="D102" s="53" t="s">
        <v>841</v>
      </c>
      <c r="E102" s="53"/>
      <c r="F102" s="53"/>
      <c r="G102" s="53"/>
      <c r="H102" s="53"/>
      <c r="I102" s="53"/>
      <c r="J102" s="53"/>
      <c r="K102" s="53"/>
      <c r="L102" s="53"/>
      <c r="M102" s="53"/>
    </row>
    <row r="103" ht="15.75" customHeight="1">
      <c r="A103" s="53" t="s">
        <v>842</v>
      </c>
      <c r="B103" s="53">
        <v>49.0</v>
      </c>
      <c r="C103" s="53" t="s">
        <v>805</v>
      </c>
      <c r="D103" s="53" t="s">
        <v>843</v>
      </c>
      <c r="E103" s="53"/>
      <c r="F103" s="53"/>
      <c r="G103" s="53"/>
      <c r="H103" s="53"/>
      <c r="I103" s="53"/>
      <c r="J103" s="53"/>
      <c r="K103" s="53"/>
      <c r="L103" s="53"/>
      <c r="M103" s="53"/>
    </row>
    <row r="104" ht="15.75" customHeight="1">
      <c r="A104" s="53" t="s">
        <v>844</v>
      </c>
      <c r="B104" s="53">
        <v>299.0</v>
      </c>
      <c r="C104" s="53" t="s">
        <v>814</v>
      </c>
      <c r="D104" s="53" t="s">
        <v>845</v>
      </c>
      <c r="E104" s="53"/>
      <c r="F104" s="53"/>
      <c r="G104" s="53"/>
      <c r="H104" s="53"/>
      <c r="I104" s="53"/>
      <c r="J104" s="53"/>
      <c r="K104" s="53"/>
      <c r="L104" s="53"/>
      <c r="M104" s="53"/>
    </row>
    <row r="105" ht="15.75" customHeight="1">
      <c r="A105" s="53" t="s">
        <v>846</v>
      </c>
      <c r="B105" s="53">
        <v>199.0</v>
      </c>
      <c r="C105" s="53" t="s">
        <v>847</v>
      </c>
      <c r="D105" s="53" t="s">
        <v>848</v>
      </c>
      <c r="E105" s="53"/>
      <c r="F105" s="53"/>
      <c r="G105" s="53"/>
      <c r="H105" s="53"/>
      <c r="I105" s="53"/>
      <c r="J105" s="53"/>
      <c r="K105" s="53"/>
      <c r="L105" s="53"/>
      <c r="M105" s="53"/>
    </row>
    <row r="106" ht="15.75" customHeight="1">
      <c r="A106" s="53" t="s">
        <v>849</v>
      </c>
      <c r="B106" s="53">
        <v>499.0</v>
      </c>
      <c r="C106" s="53" t="s">
        <v>814</v>
      </c>
      <c r="D106" s="53" t="s">
        <v>850</v>
      </c>
      <c r="E106" s="53"/>
      <c r="F106" s="53"/>
      <c r="G106" s="53"/>
      <c r="H106" s="53"/>
      <c r="I106" s="53"/>
      <c r="J106" s="53"/>
      <c r="K106" s="53"/>
      <c r="L106" s="53"/>
      <c r="M106" s="53"/>
    </row>
    <row r="107" ht="15.75" customHeight="1">
      <c r="A107" s="53" t="s">
        <v>851</v>
      </c>
      <c r="B107" s="53" t="s">
        <v>271</v>
      </c>
      <c r="C107" s="53" t="s">
        <v>814</v>
      </c>
      <c r="D107" s="53" t="s">
        <v>852</v>
      </c>
      <c r="E107" s="53"/>
      <c r="F107" s="53"/>
      <c r="G107" s="53"/>
      <c r="H107" s="53"/>
      <c r="I107" s="53"/>
      <c r="J107" s="53"/>
      <c r="K107" s="53"/>
      <c r="L107" s="53"/>
      <c r="M107" s="53"/>
    </row>
    <row r="108" ht="15.75" customHeight="1">
      <c r="A108" s="53" t="s">
        <v>853</v>
      </c>
      <c r="B108" s="53" t="s">
        <v>271</v>
      </c>
      <c r="C108" s="53" t="s">
        <v>814</v>
      </c>
      <c r="D108" s="53" t="s">
        <v>854</v>
      </c>
      <c r="E108" s="53"/>
      <c r="F108" s="53"/>
      <c r="G108" s="53"/>
      <c r="H108" s="53"/>
      <c r="I108" s="53"/>
      <c r="J108" s="53"/>
      <c r="K108" s="53"/>
      <c r="L108" s="53"/>
      <c r="M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</row>
    <row r="111" ht="15.75" customHeight="1">
      <c r="A111" s="53" t="s">
        <v>855</v>
      </c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</row>
    <row r="112" ht="15.75" customHeight="1">
      <c r="A112" s="53" t="s">
        <v>325</v>
      </c>
      <c r="B112" s="53" t="s">
        <v>326</v>
      </c>
      <c r="C112" s="53" t="s">
        <v>184</v>
      </c>
      <c r="D112" s="53" t="s">
        <v>55</v>
      </c>
      <c r="E112" s="53"/>
      <c r="F112" s="53"/>
      <c r="G112" s="53"/>
      <c r="H112" s="53"/>
      <c r="I112" s="53"/>
      <c r="J112" s="53"/>
      <c r="K112" s="53"/>
      <c r="L112" s="53"/>
      <c r="M112" s="53"/>
    </row>
    <row r="113" ht="15.75" customHeight="1">
      <c r="A113" s="53" t="s">
        <v>856</v>
      </c>
      <c r="B113" s="53" t="s">
        <v>857</v>
      </c>
      <c r="C113" s="53" t="s">
        <v>858</v>
      </c>
      <c r="D113" s="53">
        <v>10.0</v>
      </c>
      <c r="E113" s="53"/>
      <c r="F113" s="53"/>
      <c r="G113" s="53"/>
      <c r="H113" s="53"/>
      <c r="I113" s="53"/>
      <c r="J113" s="53"/>
      <c r="K113" s="53"/>
      <c r="L113" s="53"/>
      <c r="M113" s="53"/>
    </row>
    <row r="114" ht="15.75" customHeight="1">
      <c r="A114" s="53" t="s">
        <v>727</v>
      </c>
      <c r="B114" s="53" t="s">
        <v>857</v>
      </c>
      <c r="C114" s="53" t="s">
        <v>859</v>
      </c>
      <c r="D114" s="53">
        <v>20.0</v>
      </c>
      <c r="E114" s="53"/>
      <c r="F114" s="53"/>
      <c r="G114" s="53"/>
      <c r="H114" s="53"/>
      <c r="I114" s="53"/>
      <c r="J114" s="53"/>
      <c r="K114" s="53"/>
      <c r="L114" s="53"/>
      <c r="M114" s="53"/>
    </row>
    <row r="115" ht="15.75" customHeight="1">
      <c r="A115" s="53" t="s">
        <v>751</v>
      </c>
      <c r="B115" s="53" t="s">
        <v>860</v>
      </c>
      <c r="C115" s="53" t="s">
        <v>861</v>
      </c>
      <c r="D115" s="53">
        <v>75.0</v>
      </c>
      <c r="E115" s="53"/>
      <c r="F115" s="53"/>
      <c r="G115" s="53"/>
      <c r="H115" s="53"/>
      <c r="I115" s="53"/>
      <c r="J115" s="53"/>
      <c r="K115" s="53"/>
      <c r="L115" s="53"/>
      <c r="M115" s="53"/>
    </row>
    <row r="116" ht="15.75" customHeight="1">
      <c r="A116" s="53" t="s">
        <v>862</v>
      </c>
      <c r="B116" s="53" t="s">
        <v>863</v>
      </c>
      <c r="C116" s="53" t="s">
        <v>864</v>
      </c>
      <c r="D116" s="53">
        <v>100.0</v>
      </c>
      <c r="E116" s="53"/>
      <c r="F116" s="53"/>
      <c r="G116" s="53"/>
      <c r="H116" s="53"/>
      <c r="I116" s="53"/>
      <c r="J116" s="53"/>
      <c r="K116" s="53"/>
      <c r="L116" s="53"/>
      <c r="M116" s="53"/>
    </row>
    <row r="117" ht="15.75" customHeight="1">
      <c r="A117" s="53" t="s">
        <v>865</v>
      </c>
      <c r="B117" s="53" t="s">
        <v>863</v>
      </c>
      <c r="C117" s="53" t="s">
        <v>864</v>
      </c>
      <c r="D117" s="53">
        <v>125.0</v>
      </c>
      <c r="E117" s="53"/>
      <c r="F117" s="53"/>
      <c r="G117" s="53"/>
      <c r="H117" s="53"/>
      <c r="I117" s="53"/>
      <c r="J117" s="53"/>
      <c r="K117" s="53"/>
      <c r="L117" s="53"/>
      <c r="M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</row>
    <row r="120" ht="15.75" customHeight="1">
      <c r="A120" s="53" t="s">
        <v>866</v>
      </c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15.75" customHeight="1">
      <c r="A121" s="53" t="s">
        <v>867</v>
      </c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15.75" customHeight="1">
      <c r="A122" s="53" t="s">
        <v>868</v>
      </c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15.75" customHeight="1">
      <c r="A123" s="53" t="s">
        <v>366</v>
      </c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</row>
    <row r="124" ht="15.75" customHeight="1">
      <c r="A124" s="53" t="s">
        <v>378</v>
      </c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15.75" customHeight="1">
      <c r="A125" s="53" t="s">
        <v>869</v>
      </c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15.75" customHeight="1">
      <c r="A126" s="53" t="s">
        <v>870</v>
      </c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15.75" customHeight="1">
      <c r="A127" s="53" t="s">
        <v>392</v>
      </c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</row>
    <row r="128" ht="15.75" customHeight="1">
      <c r="A128" s="53" t="s">
        <v>871</v>
      </c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15.75" customHeight="1">
      <c r="A129" s="53" t="s">
        <v>872</v>
      </c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15.75" customHeight="1">
      <c r="A130" s="53" t="s">
        <v>873</v>
      </c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15.75" customHeight="1">
      <c r="A131" s="53" t="s">
        <v>874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</row>
    <row r="132" ht="15.75" customHeight="1">
      <c r="A132" s="53" t="s">
        <v>875</v>
      </c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</row>
    <row r="133" ht="15.75" customHeight="1">
      <c r="A133" s="53" t="s">
        <v>340</v>
      </c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</row>
    <row r="136" ht="15.75" customHeight="1">
      <c r="A136" s="53" t="s">
        <v>876</v>
      </c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</row>
    <row r="137" ht="15.75" customHeight="1">
      <c r="A137" s="53" t="s">
        <v>877</v>
      </c>
      <c r="B137" s="53" t="s">
        <v>43</v>
      </c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</row>
    <row r="138" ht="15.75" customHeight="1">
      <c r="A138" s="53" t="s">
        <v>878</v>
      </c>
      <c r="B138" s="53" t="s">
        <v>879</v>
      </c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</row>
    <row r="139" ht="15.75" customHeight="1">
      <c r="A139" s="53" t="s">
        <v>880</v>
      </c>
      <c r="B139" s="53" t="s">
        <v>879</v>
      </c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</row>
    <row r="140" ht="15.75" customHeight="1">
      <c r="A140" s="53" t="s">
        <v>881</v>
      </c>
      <c r="B140" s="53" t="s">
        <v>879</v>
      </c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</row>
    <row r="141" ht="15.75" customHeight="1">
      <c r="A141" s="53" t="s">
        <v>882</v>
      </c>
      <c r="B141" s="53" t="s">
        <v>879</v>
      </c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</row>
    <row r="142" ht="15.75" customHeight="1">
      <c r="A142" s="53" t="s">
        <v>883</v>
      </c>
      <c r="B142" s="53" t="s">
        <v>879</v>
      </c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</row>
    <row r="143" ht="15.75" customHeight="1">
      <c r="A143" s="53" t="s">
        <v>884</v>
      </c>
      <c r="B143" s="53" t="s">
        <v>879</v>
      </c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</row>
    <row r="144" ht="15.75" customHeight="1">
      <c r="A144" s="53" t="s">
        <v>885</v>
      </c>
      <c r="B144" s="53" t="s">
        <v>879</v>
      </c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</row>
    <row r="145" ht="15.75" customHeight="1">
      <c r="A145" s="53" t="s">
        <v>886</v>
      </c>
      <c r="B145" s="53" t="s">
        <v>879</v>
      </c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</row>
    <row r="146" ht="15.75" customHeight="1">
      <c r="A146" s="53" t="s">
        <v>887</v>
      </c>
      <c r="B146" s="53" t="s">
        <v>879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15.75" customHeight="1">
      <c r="A147" s="53" t="s">
        <v>888</v>
      </c>
      <c r="B147" s="53" t="s">
        <v>879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M1"/>
    <mergeCell ref="A2:M2"/>
    <mergeCell ref="A4:M4"/>
    <mergeCell ref="A36:M36"/>
    <mergeCell ref="A51:M51"/>
  </mergeCells>
  <printOptions/>
  <pageMargins bottom="0.75" footer="0.0" header="0.0" left="0.7" right="0.7" top="0.75"/>
  <pageSetup orientation="landscape"/>
  <drawing r:id="rId1"/>
</worksheet>
</file>